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Dashboard" sheetId="2" state="visible" r:id="rId2"/>
    <sheet name="Crypto_Abiertas" sheetId="3" state="visible" r:id="rId3"/>
    <sheet name="Operaciones_Cerradas" sheetId="4" state="visible" r:id="rId4"/>
    <sheet name="Calcular_TI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000000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5B6"/>
      <sz val="14"/>
    </font>
    <font>
      <b val="1"/>
      <sz val="12"/>
    </font>
    <font>
      <i val="1"/>
      <color rgb="00666666"/>
    </font>
    <font>
      <i val="1"/>
      <color rgb="00666666"/>
      <sz val="10"/>
    </font>
    <font>
      <b val="1"/>
    </font>
    <font>
      <b val="1"/>
      <sz val="11"/>
    </font>
    <font>
      <i val="1"/>
      <color rgb="00999999"/>
    </font>
    <font>
      <i val="1"/>
      <color rgb="00FF000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0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  <col width="8" customWidth="1" min="5" max="5"/>
    <col width="14" customWidth="1" min="6" max="6"/>
    <col width="11" customWidth="1" min="7" max="7"/>
    <col width="17" customWidth="1" min="8" max="8"/>
    <col width="17" customWidth="1" min="9" max="9"/>
    <col width="15" customWidth="1" min="10" max="10"/>
    <col width="13" customWidth="1" min="11" max="11"/>
    <col width="13" customWidth="1" min="12" max="12"/>
    <col width="16" customWidth="1" min="13" max="13"/>
    <col width="18" customWidth="1" min="14" max="14"/>
    <col width="30" customWidth="1" min="15" max="15"/>
  </cols>
  <sheetData>
    <row r="1">
      <c r="A1" s="1" t="inlineStr">
        <is>
          <t>fecha</t>
        </is>
      </c>
      <c r="B1" s="1" t="inlineStr">
        <is>
          <t>broker</t>
        </is>
      </c>
      <c r="C1" s="1" t="inlineStr">
        <is>
          <t>tipo_operacion</t>
        </is>
      </c>
      <c r="D1" s="1" t="inlineStr">
        <is>
          <t>tipo_activo</t>
        </is>
      </c>
      <c r="E1" s="1" t="inlineStr">
        <is>
          <t>ticker</t>
        </is>
      </c>
      <c r="F1" s="1" t="inlineStr">
        <is>
          <t>isin</t>
        </is>
      </c>
      <c r="G1" s="1" t="inlineStr">
        <is>
          <t>cantidad</t>
        </is>
      </c>
      <c r="H1" s="1" t="inlineStr">
        <is>
          <t>precio_unitario</t>
        </is>
      </c>
      <c r="I1" s="1" t="inlineStr">
        <is>
          <t>moneda_original</t>
        </is>
      </c>
      <c r="J1" s="1" t="inlineStr">
        <is>
          <t>importe_bruto</t>
        </is>
      </c>
      <c r="K1" s="1" t="inlineStr">
        <is>
          <t>importe_eur</t>
        </is>
      </c>
      <c r="L1" s="1" t="inlineStr">
        <is>
          <t>tipo_cambio</t>
        </is>
      </c>
      <c r="M1" s="1" t="inlineStr">
        <is>
          <t>comisiones_eur</t>
        </is>
      </c>
      <c r="N1" s="1" t="inlineStr">
        <is>
          <t>importe_neto_eur</t>
        </is>
      </c>
      <c r="O1" s="1" t="inlineStr">
        <is>
          <t>notas</t>
        </is>
      </c>
    </row>
    <row r="2">
      <c r="A2" t="inlineStr">
        <is>
          <t>2020-03-03</t>
        </is>
      </c>
      <c r="B2" t="inlineStr">
        <is>
          <t>Degiro</t>
        </is>
      </c>
      <c r="C2" t="inlineStr">
        <is>
          <t>BUY</t>
        </is>
      </c>
      <c r="D2" t="inlineStr">
        <is>
          <t>Stock</t>
        </is>
      </c>
      <c r="E2" t="inlineStr">
        <is>
          <t>MAS</t>
        </is>
      </c>
      <c r="F2" t="inlineStr">
        <is>
          <t>ES0184696104</t>
        </is>
      </c>
      <c r="G2" t="n">
        <v>2</v>
      </c>
      <c r="H2" t="n">
        <v>19.22</v>
      </c>
      <c r="I2" t="inlineStr">
        <is>
          <t>EUR</t>
        </is>
      </c>
      <c r="J2" t="n">
        <v>38.44</v>
      </c>
      <c r="K2" t="n">
        <v>40.46</v>
      </c>
      <c r="L2" t="n">
        <v>0</v>
      </c>
      <c r="M2" t="n">
        <v>2.02</v>
      </c>
      <c r="N2" t="n">
        <v>-40.46</v>
      </c>
      <c r="O2" t="inlineStr"/>
    </row>
    <row r="3">
      <c r="A3" t="inlineStr">
        <is>
          <t>2020-03-30</t>
        </is>
      </c>
      <c r="B3" t="inlineStr">
        <is>
          <t>Degiro</t>
        </is>
      </c>
      <c r="C3" t="inlineStr">
        <is>
          <t>BUY</t>
        </is>
      </c>
      <c r="D3" t="inlineStr">
        <is>
          <t>Stock</t>
        </is>
      </c>
      <c r="E3" t="inlineStr">
        <is>
          <t>MAS</t>
        </is>
      </c>
      <c r="F3" t="inlineStr">
        <is>
          <t>ES0184696104</t>
        </is>
      </c>
      <c r="G3" t="n">
        <v>12</v>
      </c>
      <c r="H3" t="n">
        <v>14.07</v>
      </c>
      <c r="I3" t="inlineStr">
        <is>
          <t>EUR</t>
        </is>
      </c>
      <c r="J3" t="n">
        <v>168.84</v>
      </c>
      <c r="K3" t="n">
        <v>170.92</v>
      </c>
      <c r="L3" t="n">
        <v>0</v>
      </c>
      <c r="M3" t="n">
        <v>2.08</v>
      </c>
      <c r="N3" t="n">
        <v>-170.92</v>
      </c>
      <c r="O3" t="inlineStr"/>
    </row>
    <row r="4">
      <c r="A4" t="inlineStr">
        <is>
          <t>2020-04-20</t>
        </is>
      </c>
      <c r="B4" t="inlineStr">
        <is>
          <t>Degiro</t>
        </is>
      </c>
      <c r="C4" t="inlineStr">
        <is>
          <t>BUY</t>
        </is>
      </c>
      <c r="D4" t="inlineStr">
        <is>
          <t>Stock</t>
        </is>
      </c>
      <c r="E4" t="inlineStr">
        <is>
          <t>META</t>
        </is>
      </c>
      <c r="F4" t="inlineStr">
        <is>
          <t>US30303M1027</t>
        </is>
      </c>
      <c r="G4" t="n">
        <v>1</v>
      </c>
      <c r="H4" t="n">
        <v>177.51</v>
      </c>
      <c r="I4" t="inlineStr">
        <is>
          <t>USD</t>
        </is>
      </c>
      <c r="J4" t="n">
        <v>177.51</v>
      </c>
      <c r="K4" t="n">
        <v>163.91</v>
      </c>
      <c r="L4" t="n">
        <v>1.0863</v>
      </c>
      <c r="M4" t="n">
        <v>0.66</v>
      </c>
      <c r="N4" t="n">
        <v>-163.91</v>
      </c>
      <c r="O4" t="inlineStr"/>
    </row>
    <row r="5">
      <c r="A5" t="inlineStr">
        <is>
          <t>2020-04-20</t>
        </is>
      </c>
      <c r="B5" t="inlineStr">
        <is>
          <t>Degiro</t>
        </is>
      </c>
      <c r="C5" t="inlineStr">
        <is>
          <t>BUY</t>
        </is>
      </c>
      <c r="D5" t="inlineStr">
        <is>
          <t>Stock</t>
        </is>
      </c>
      <c r="E5" t="inlineStr">
        <is>
          <t>DIS</t>
        </is>
      </c>
      <c r="F5" t="inlineStr">
        <is>
          <t>US2546871060</t>
        </is>
      </c>
      <c r="G5" t="n">
        <v>2</v>
      </c>
      <c r="H5" t="n">
        <v>103</v>
      </c>
      <c r="I5" t="inlineStr">
        <is>
          <t>USD</t>
        </is>
      </c>
      <c r="J5" t="n">
        <v>206</v>
      </c>
      <c r="K5" t="n">
        <v>190.13</v>
      </c>
      <c r="L5" t="n">
        <v>1.0864</v>
      </c>
      <c r="M5" t="n">
        <v>0.7</v>
      </c>
      <c r="N5" t="n">
        <v>-190.13</v>
      </c>
      <c r="O5" t="inlineStr"/>
    </row>
    <row r="6">
      <c r="A6" t="inlineStr">
        <is>
          <t>2020-04-20</t>
        </is>
      </c>
      <c r="B6" t="inlineStr">
        <is>
          <t>Degiro</t>
        </is>
      </c>
      <c r="C6" t="inlineStr">
        <is>
          <t>BUY</t>
        </is>
      </c>
      <c r="D6" t="inlineStr">
        <is>
          <t>ETF</t>
        </is>
      </c>
      <c r="E6" t="inlineStr">
        <is>
          <t>CSPX</t>
        </is>
      </c>
      <c r="F6" t="inlineStr">
        <is>
          <t>IE0031442068</t>
        </is>
      </c>
      <c r="G6" t="n">
        <v>7</v>
      </c>
      <c r="H6" t="n">
        <v>26.247</v>
      </c>
      <c r="I6" t="inlineStr">
        <is>
          <t>EUR</t>
        </is>
      </c>
      <c r="J6" t="n">
        <v>183.73</v>
      </c>
      <c r="K6" t="n">
        <v>183.73</v>
      </c>
      <c r="L6" t="n">
        <v>0</v>
      </c>
      <c r="M6" t="n">
        <v>0</v>
      </c>
      <c r="N6" t="n">
        <v>-183.73</v>
      </c>
      <c r="O6" t="inlineStr"/>
    </row>
    <row r="7">
      <c r="A7" t="inlineStr">
        <is>
          <t>2020-04-20</t>
        </is>
      </c>
      <c r="B7" t="inlineStr">
        <is>
          <t>Degiro</t>
        </is>
      </c>
      <c r="C7" t="inlineStr">
        <is>
          <t>BUY</t>
        </is>
      </c>
      <c r="D7" t="inlineStr">
        <is>
          <t>Stock</t>
        </is>
      </c>
      <c r="E7" t="inlineStr">
        <is>
          <t>IAG</t>
        </is>
      </c>
      <c r="F7" t="inlineStr">
        <is>
          <t>ES0177542018</t>
        </is>
      </c>
      <c r="G7" t="n">
        <v>20</v>
      </c>
      <c r="H7" t="n">
        <v>2.766</v>
      </c>
      <c r="I7" t="inlineStr">
        <is>
          <t>EUR</t>
        </is>
      </c>
      <c r="J7" t="n">
        <v>55.32</v>
      </c>
      <c r="K7" t="n">
        <v>57.35</v>
      </c>
      <c r="L7" t="n">
        <v>0</v>
      </c>
      <c r="M7" t="n">
        <v>2.03</v>
      </c>
      <c r="N7" t="n">
        <v>-57.35</v>
      </c>
      <c r="O7" t="inlineStr"/>
    </row>
    <row r="8">
      <c r="A8" t="inlineStr">
        <is>
          <t>2020-04-20</t>
        </is>
      </c>
      <c r="B8" t="inlineStr">
        <is>
          <t>Degiro</t>
        </is>
      </c>
      <c r="C8" t="inlineStr">
        <is>
          <t>BUY</t>
        </is>
      </c>
      <c r="D8" t="inlineStr">
        <is>
          <t>Stock</t>
        </is>
      </c>
      <c r="E8" t="inlineStr">
        <is>
          <t>CLNX</t>
        </is>
      </c>
      <c r="F8" t="inlineStr">
        <is>
          <t>ES0105066007</t>
        </is>
      </c>
      <c r="G8" t="n">
        <v>3</v>
      </c>
      <c r="H8" t="n">
        <v>50.1</v>
      </c>
      <c r="I8" t="inlineStr">
        <is>
          <t>EUR</t>
        </is>
      </c>
      <c r="J8" t="n">
        <v>150.3</v>
      </c>
      <c r="K8" t="n">
        <v>152.38</v>
      </c>
      <c r="L8" t="n">
        <v>0</v>
      </c>
      <c r="M8" t="n">
        <v>2.08</v>
      </c>
      <c r="N8" t="n">
        <v>-152.38</v>
      </c>
      <c r="O8" t="inlineStr"/>
    </row>
    <row r="9">
      <c r="A9" t="inlineStr">
        <is>
          <t>2020-04-20</t>
        </is>
      </c>
      <c r="B9" t="inlineStr">
        <is>
          <t>Degiro</t>
        </is>
      </c>
      <c r="C9" t="inlineStr">
        <is>
          <t>BUY</t>
        </is>
      </c>
      <c r="D9" t="inlineStr">
        <is>
          <t>Stock</t>
        </is>
      </c>
      <c r="E9" t="inlineStr">
        <is>
          <t>AIR</t>
        </is>
      </c>
      <c r="F9" t="inlineStr">
        <is>
          <t>NL0000235190</t>
        </is>
      </c>
      <c r="G9" t="n">
        <v>6</v>
      </c>
      <c r="H9" t="n">
        <v>58.78</v>
      </c>
      <c r="I9" t="inlineStr">
        <is>
          <t>EUR</t>
        </is>
      </c>
      <c r="J9" t="n">
        <v>352.68</v>
      </c>
      <c r="K9" t="n">
        <v>354.86</v>
      </c>
      <c r="L9" t="n">
        <v>0</v>
      </c>
      <c r="M9" t="n">
        <v>2.18</v>
      </c>
      <c r="N9" t="n">
        <v>-354.86</v>
      </c>
      <c r="O9" t="inlineStr"/>
    </row>
    <row r="10">
      <c r="A10" t="inlineStr">
        <is>
          <t>2020-05-07</t>
        </is>
      </c>
      <c r="B10" t="inlineStr">
        <is>
          <t>Degiro</t>
        </is>
      </c>
      <c r="C10" t="inlineStr">
        <is>
          <t>BUY</t>
        </is>
      </c>
      <c r="D10" t="inlineStr">
        <is>
          <t>Stock</t>
        </is>
      </c>
      <c r="E10" t="inlineStr">
        <is>
          <t>PINS</t>
        </is>
      </c>
      <c r="F10" t="inlineStr">
        <is>
          <t>US72352L1061</t>
        </is>
      </c>
      <c r="G10" t="n">
        <v>5</v>
      </c>
      <c r="H10" t="n">
        <v>18.44</v>
      </c>
      <c r="I10" t="inlineStr">
        <is>
          <t>USD</t>
        </is>
      </c>
      <c r="J10" t="n">
        <v>92.2</v>
      </c>
      <c r="K10" t="n">
        <v>86.14</v>
      </c>
      <c r="L10" t="n">
        <v>1.0768</v>
      </c>
      <c r="M10" t="n">
        <v>0.61</v>
      </c>
      <c r="N10" t="n">
        <v>-86.14</v>
      </c>
      <c r="O10" t="inlineStr"/>
    </row>
    <row r="11">
      <c r="A11" t="inlineStr">
        <is>
          <t>2020-05-12</t>
        </is>
      </c>
      <c r="B11" t="inlineStr">
        <is>
          <t>Degiro</t>
        </is>
      </c>
      <c r="C11" t="inlineStr">
        <is>
          <t>BUY</t>
        </is>
      </c>
      <c r="D11" t="inlineStr">
        <is>
          <t>Stock</t>
        </is>
      </c>
      <c r="E11" t="inlineStr">
        <is>
          <t>UBER</t>
        </is>
      </c>
      <c r="F11" t="inlineStr">
        <is>
          <t>US90353T1007</t>
        </is>
      </c>
      <c r="G11" t="n">
        <v>3</v>
      </c>
      <c r="H11" t="n">
        <v>32.7</v>
      </c>
      <c r="I11" t="inlineStr">
        <is>
          <t>USD</t>
        </is>
      </c>
      <c r="J11" t="n">
        <v>98.09999999999999</v>
      </c>
      <c r="K11" t="n">
        <v>90.88</v>
      </c>
      <c r="L11" t="n">
        <v>1.0855</v>
      </c>
      <c r="M11" t="n">
        <v>0.6</v>
      </c>
      <c r="N11" t="n">
        <v>-90.88</v>
      </c>
      <c r="O11" t="inlineStr"/>
    </row>
    <row r="12">
      <c r="A12" t="inlineStr">
        <is>
          <t>2020-05-13</t>
        </is>
      </c>
      <c r="B12" t="inlineStr">
        <is>
          <t>Degiro</t>
        </is>
      </c>
      <c r="C12" t="inlineStr">
        <is>
          <t>BUY</t>
        </is>
      </c>
      <c r="D12" t="inlineStr">
        <is>
          <t>ETF</t>
        </is>
      </c>
      <c r="E12" t="inlineStr">
        <is>
          <t>CSPX</t>
        </is>
      </c>
      <c r="F12" t="inlineStr">
        <is>
          <t>IE0031442068</t>
        </is>
      </c>
      <c r="G12" t="n">
        <v>3</v>
      </c>
      <c r="H12" t="n">
        <v>26.25</v>
      </c>
      <c r="I12" t="inlineStr">
        <is>
          <t>EUR</t>
        </is>
      </c>
      <c r="J12" t="n">
        <v>78.75</v>
      </c>
      <c r="K12" t="n">
        <v>78.75</v>
      </c>
      <c r="L12" t="n">
        <v>0</v>
      </c>
      <c r="M12" t="n">
        <v>0</v>
      </c>
      <c r="N12" t="n">
        <v>-78.75</v>
      </c>
      <c r="O12" t="inlineStr"/>
    </row>
    <row r="13">
      <c r="A13" t="inlineStr">
        <is>
          <t>2020-05-19</t>
        </is>
      </c>
      <c r="B13" t="inlineStr">
        <is>
          <t>Kraken</t>
        </is>
      </c>
      <c r="C13" t="inlineStr">
        <is>
          <t>BUY</t>
        </is>
      </c>
      <c r="D13" t="inlineStr">
        <is>
          <t>Crypto</t>
        </is>
      </c>
      <c r="E13" t="inlineStr">
        <is>
          <t>BTC</t>
        </is>
      </c>
      <c r="F13" t="inlineStr"/>
      <c r="G13" t="n">
        <v>0.0282</v>
      </c>
      <c r="H13" t="n">
        <v>8794.33</v>
      </c>
      <c r="I13" t="inlineStr">
        <is>
          <t>EUR</t>
        </is>
      </c>
      <c r="J13" t="n">
        <v>248</v>
      </c>
      <c r="K13" t="n">
        <v>248</v>
      </c>
      <c r="L13" t="n">
        <v>0</v>
      </c>
      <c r="M13" t="n">
        <v>0</v>
      </c>
      <c r="N13" t="n">
        <v>-248</v>
      </c>
      <c r="O13" t="inlineStr">
        <is>
          <t>Kraken UI screenshot</t>
        </is>
      </c>
    </row>
    <row r="14">
      <c r="A14" t="inlineStr">
        <is>
          <t>2020-06-29</t>
        </is>
      </c>
      <c r="B14" t="inlineStr">
        <is>
          <t>Degiro</t>
        </is>
      </c>
      <c r="C14" t="inlineStr">
        <is>
          <t>BUY</t>
        </is>
      </c>
      <c r="D14" t="inlineStr">
        <is>
          <t>Stock</t>
        </is>
      </c>
      <c r="E14" t="inlineStr">
        <is>
          <t>BYND</t>
        </is>
      </c>
      <c r="F14" t="inlineStr">
        <is>
          <t>US08862E1091</t>
        </is>
      </c>
      <c r="G14" t="n">
        <v>2</v>
      </c>
      <c r="H14" t="n">
        <v>128.12</v>
      </c>
      <c r="I14" t="inlineStr">
        <is>
          <t>USD</t>
        </is>
      </c>
      <c r="J14" t="n">
        <v>256.24</v>
      </c>
      <c r="K14" t="n">
        <v>228.4</v>
      </c>
      <c r="L14" t="n">
        <v>1.1244</v>
      </c>
      <c r="M14" t="n">
        <v>0.74</v>
      </c>
      <c r="N14" t="n">
        <v>-228.4</v>
      </c>
      <c r="O14" t="inlineStr"/>
    </row>
    <row r="15">
      <c r="A15" t="inlineStr">
        <is>
          <t>2020-09-02</t>
        </is>
      </c>
      <c r="B15" t="inlineStr">
        <is>
          <t>Degiro</t>
        </is>
      </c>
      <c r="C15" t="inlineStr">
        <is>
          <t>BUY</t>
        </is>
      </c>
      <c r="D15" t="inlineStr">
        <is>
          <t>Stock</t>
        </is>
      </c>
      <c r="E15" t="inlineStr">
        <is>
          <t>AAPL</t>
        </is>
      </c>
      <c r="F15" t="inlineStr">
        <is>
          <t>US0378331005</t>
        </is>
      </c>
      <c r="G15" t="n">
        <v>2</v>
      </c>
      <c r="H15" t="n">
        <v>129.82</v>
      </c>
      <c r="I15" t="inlineStr">
        <is>
          <t>USD</t>
        </is>
      </c>
      <c r="J15" t="n">
        <v>259.64</v>
      </c>
      <c r="K15" t="n">
        <v>219.93</v>
      </c>
      <c r="L15" t="n">
        <v>1.1833</v>
      </c>
      <c r="M15" t="n">
        <v>0.73</v>
      </c>
      <c r="N15" t="n">
        <v>-219.93</v>
      </c>
      <c r="O15" t="inlineStr"/>
    </row>
    <row r="16">
      <c r="A16" t="inlineStr">
        <is>
          <t>2020-09-25</t>
        </is>
      </c>
      <c r="B16" t="inlineStr">
        <is>
          <t>Degiro</t>
        </is>
      </c>
      <c r="C16" t="inlineStr">
        <is>
          <t>BUY</t>
        </is>
      </c>
      <c r="D16" t="inlineStr">
        <is>
          <t>Stock</t>
        </is>
      </c>
      <c r="E16" t="inlineStr">
        <is>
          <t>IAG</t>
        </is>
      </c>
      <c r="F16" t="inlineStr">
        <is>
          <t>ES0177542018</t>
        </is>
      </c>
      <c r="G16" t="n">
        <v>30</v>
      </c>
      <c r="H16" t="n">
        <v>0.92</v>
      </c>
      <c r="I16" t="inlineStr">
        <is>
          <t>EUR</t>
        </is>
      </c>
      <c r="J16" t="n">
        <v>27.6</v>
      </c>
      <c r="K16" t="n">
        <v>27.6</v>
      </c>
      <c r="L16" t="n">
        <v>0</v>
      </c>
      <c r="M16" t="n">
        <v>0</v>
      </c>
      <c r="N16" t="n">
        <v>-27.6</v>
      </c>
      <c r="O16" t="inlineStr"/>
    </row>
    <row r="17">
      <c r="A17" t="inlineStr">
        <is>
          <t>2020-10-07</t>
        </is>
      </c>
      <c r="B17" t="inlineStr">
        <is>
          <t>Degiro</t>
        </is>
      </c>
      <c r="C17" t="inlineStr">
        <is>
          <t>SELL</t>
        </is>
      </c>
      <c r="D17" t="inlineStr">
        <is>
          <t>Stock</t>
        </is>
      </c>
      <c r="E17" t="inlineStr">
        <is>
          <t>IAG</t>
        </is>
      </c>
      <c r="F17" t="inlineStr">
        <is>
          <t>ES0177542018</t>
        </is>
      </c>
      <c r="G17" t="n">
        <v>30</v>
      </c>
      <c r="H17" t="n">
        <v>0.92</v>
      </c>
      <c r="I17" t="inlineStr">
        <is>
          <t>EUR</t>
        </is>
      </c>
      <c r="J17" t="n">
        <v>27.6</v>
      </c>
      <c r="K17" t="n">
        <v>27.6</v>
      </c>
      <c r="L17" t="n">
        <v>0</v>
      </c>
      <c r="M17" t="n">
        <v>0</v>
      </c>
      <c r="N17" t="n">
        <v>27.6</v>
      </c>
      <c r="O17" t="inlineStr"/>
    </row>
    <row r="18">
      <c r="A18" t="inlineStr">
        <is>
          <t>2020-10-07</t>
        </is>
      </c>
      <c r="B18" t="inlineStr">
        <is>
          <t>Degiro</t>
        </is>
      </c>
      <c r="C18" t="inlineStr">
        <is>
          <t>BUY</t>
        </is>
      </c>
      <c r="D18" t="inlineStr">
        <is>
          <t>Stock</t>
        </is>
      </c>
      <c r="E18" t="inlineStr">
        <is>
          <t>IAG</t>
        </is>
      </c>
      <c r="F18" t="inlineStr">
        <is>
          <t>ES0177542018</t>
        </is>
      </c>
      <c r="G18" t="n">
        <v>30</v>
      </c>
      <c r="H18" t="n">
        <v>0.92</v>
      </c>
      <c r="I18" t="inlineStr">
        <is>
          <t>EUR</t>
        </is>
      </c>
      <c r="J18" t="n">
        <v>27.6</v>
      </c>
      <c r="K18" t="n">
        <v>27.6</v>
      </c>
      <c r="L18" t="n">
        <v>0</v>
      </c>
      <c r="M18" t="n">
        <v>0</v>
      </c>
      <c r="N18" t="n">
        <v>-27.6</v>
      </c>
      <c r="O18" t="inlineStr"/>
    </row>
    <row r="19">
      <c r="A19" t="inlineStr">
        <is>
          <t>2021-01-28</t>
        </is>
      </c>
      <c r="B19" t="inlineStr">
        <is>
          <t>Degiro</t>
        </is>
      </c>
      <c r="C19" t="inlineStr">
        <is>
          <t>SELL</t>
        </is>
      </c>
      <c r="D19" t="inlineStr">
        <is>
          <t>Stock</t>
        </is>
      </c>
      <c r="E19" t="inlineStr">
        <is>
          <t>MAS</t>
        </is>
      </c>
      <c r="F19" t="inlineStr">
        <is>
          <t>ES0184696104</t>
        </is>
      </c>
      <c r="G19" t="n">
        <v>14</v>
      </c>
      <c r="H19" t="n">
        <v>22.5</v>
      </c>
      <c r="I19" t="inlineStr">
        <is>
          <t>EUR</t>
        </is>
      </c>
      <c r="J19" t="n">
        <v>315</v>
      </c>
      <c r="K19" t="n">
        <v>315</v>
      </c>
      <c r="L19" t="n">
        <v>0</v>
      </c>
      <c r="M19" t="n">
        <v>0</v>
      </c>
      <c r="N19" t="n">
        <v>315</v>
      </c>
      <c r="O19" t="inlineStr">
        <is>
          <t>OPA Masmovil</t>
        </is>
      </c>
    </row>
    <row r="20">
      <c r="A20" t="inlineStr">
        <is>
          <t>2021-05-04</t>
        </is>
      </c>
      <c r="B20" t="inlineStr">
        <is>
          <t>Degiro</t>
        </is>
      </c>
      <c r="C20" t="inlineStr">
        <is>
          <t>BUY</t>
        </is>
      </c>
      <c r="D20" t="inlineStr">
        <is>
          <t>Stock</t>
        </is>
      </c>
      <c r="E20" t="inlineStr">
        <is>
          <t>TWTR</t>
        </is>
      </c>
      <c r="F20" t="inlineStr">
        <is>
          <t>US90184L1026</t>
        </is>
      </c>
      <c r="G20" t="n">
        <v>5</v>
      </c>
      <c r="H20" t="n">
        <v>53.73</v>
      </c>
      <c r="I20" t="inlineStr">
        <is>
          <t>USD</t>
        </is>
      </c>
      <c r="J20" t="n">
        <v>268.65</v>
      </c>
      <c r="K20" t="n">
        <v>223.95</v>
      </c>
      <c r="L20" t="n">
        <v>1.2024</v>
      </c>
      <c r="M20" t="n">
        <v>0.74</v>
      </c>
      <c r="N20" t="n">
        <v>-223.95</v>
      </c>
      <c r="O20" t="inlineStr"/>
    </row>
    <row r="21">
      <c r="A21" t="inlineStr">
        <is>
          <t>2021-05-19</t>
        </is>
      </c>
      <c r="B21" t="inlineStr">
        <is>
          <t>Kraken</t>
        </is>
      </c>
      <c r="C21" t="inlineStr">
        <is>
          <t>BUY</t>
        </is>
      </c>
      <c r="D21" t="inlineStr">
        <is>
          <t>Crypto</t>
        </is>
      </c>
      <c r="E21" t="inlineStr">
        <is>
          <t>BTC</t>
        </is>
      </c>
      <c r="F21" t="inlineStr"/>
      <c r="G21" t="n">
        <v>0.00779</v>
      </c>
      <c r="H21" t="n">
        <v>32092.43</v>
      </c>
      <c r="I21" t="inlineStr">
        <is>
          <t>EUR</t>
        </is>
      </c>
      <c r="J21" t="n">
        <v>250</v>
      </c>
      <c r="K21" t="n">
        <v>250</v>
      </c>
      <c r="L21" t="n">
        <v>0</v>
      </c>
      <c r="M21" t="n">
        <v>0</v>
      </c>
      <c r="N21" t="n">
        <v>-250</v>
      </c>
      <c r="O21" t="inlineStr">
        <is>
          <t>Kraken UI screenshot</t>
        </is>
      </c>
    </row>
    <row r="22">
      <c r="A22" t="inlineStr">
        <is>
          <t>2021-05-19</t>
        </is>
      </c>
      <c r="B22" t="inlineStr">
        <is>
          <t>Kraken</t>
        </is>
      </c>
      <c r="C22" t="inlineStr">
        <is>
          <t>BUY</t>
        </is>
      </c>
      <c r="D22" t="inlineStr">
        <is>
          <t>Crypto</t>
        </is>
      </c>
      <c r="E22" t="inlineStr">
        <is>
          <t>ETH</t>
        </is>
      </c>
      <c r="F22" t="inlineStr"/>
      <c r="G22" t="n">
        <v>0.11117</v>
      </c>
      <c r="H22" t="n">
        <v>2248.81</v>
      </c>
      <c r="I22" t="inlineStr">
        <is>
          <t>EUR</t>
        </is>
      </c>
      <c r="J22" t="n">
        <v>250</v>
      </c>
      <c r="K22" t="n">
        <v>250</v>
      </c>
      <c r="L22" t="n">
        <v>0</v>
      </c>
      <c r="M22" t="n">
        <v>0</v>
      </c>
      <c r="N22" t="n">
        <v>-250</v>
      </c>
      <c r="O22" t="inlineStr">
        <is>
          <t>Kraken UI screenshot</t>
        </is>
      </c>
    </row>
    <row r="23">
      <c r="A23" t="inlineStr">
        <is>
          <t>2021-12-03</t>
        </is>
      </c>
      <c r="B23" t="inlineStr">
        <is>
          <t>Kraken</t>
        </is>
      </c>
      <c r="C23" t="inlineStr">
        <is>
          <t>BUY</t>
        </is>
      </c>
      <c r="D23" t="inlineStr">
        <is>
          <t>Crypto</t>
        </is>
      </c>
      <c r="E23" t="inlineStr">
        <is>
          <t>SOL</t>
        </is>
      </c>
      <c r="F23" t="inlineStr"/>
      <c r="G23" t="n">
        <v>0.9389</v>
      </c>
      <c r="H23" t="n">
        <v>213.02</v>
      </c>
      <c r="I23" t="inlineStr">
        <is>
          <t>EUR</t>
        </is>
      </c>
      <c r="J23" t="n">
        <v>200</v>
      </c>
      <c r="K23" t="n">
        <v>200</v>
      </c>
      <c r="L23" t="n">
        <v>0</v>
      </c>
      <c r="M23" t="n">
        <v>0</v>
      </c>
      <c r="N23" t="n">
        <v>-200</v>
      </c>
      <c r="O23" t="inlineStr">
        <is>
          <t>Kraken UI screenshot</t>
        </is>
      </c>
    </row>
    <row r="24">
      <c r="A24" t="inlineStr">
        <is>
          <t>2022-01-24</t>
        </is>
      </c>
      <c r="B24" t="inlineStr">
        <is>
          <t>Degiro</t>
        </is>
      </c>
      <c r="C24" t="inlineStr">
        <is>
          <t>SELL</t>
        </is>
      </c>
      <c r="D24" t="inlineStr">
        <is>
          <t>Stock</t>
        </is>
      </c>
      <c r="E24" t="inlineStr">
        <is>
          <t>UBER</t>
        </is>
      </c>
      <c r="F24" t="inlineStr">
        <is>
          <t>US90353T1007</t>
        </is>
      </c>
      <c r="G24" t="n">
        <v>3</v>
      </c>
      <c r="H24" t="n">
        <v>34.2815</v>
      </c>
      <c r="I24" t="inlineStr">
        <is>
          <t>USD</t>
        </is>
      </c>
      <c r="J24" t="n">
        <v>102.84</v>
      </c>
      <c r="K24" t="n">
        <v>90.29000000000001</v>
      </c>
      <c r="L24" t="n">
        <v>1.1328</v>
      </c>
      <c r="M24" t="n">
        <v>0.73</v>
      </c>
      <c r="N24" t="n">
        <v>89.56</v>
      </c>
      <c r="O24" t="inlineStr"/>
    </row>
    <row r="25">
      <c r="A25" t="inlineStr">
        <is>
          <t>2022-01-25</t>
        </is>
      </c>
      <c r="B25" t="inlineStr">
        <is>
          <t>Kraken</t>
        </is>
      </c>
      <c r="C25" t="inlineStr">
        <is>
          <t>BUY</t>
        </is>
      </c>
      <c r="D25" t="inlineStr">
        <is>
          <t>Crypto</t>
        </is>
      </c>
      <c r="E25" t="inlineStr">
        <is>
          <t>BTC</t>
        </is>
      </c>
      <c r="F25" t="inlineStr"/>
      <c r="G25" t="n">
        <v>0.00606</v>
      </c>
      <c r="H25" t="n">
        <v>32419.14</v>
      </c>
      <c r="I25" t="inlineStr">
        <is>
          <t>EUR</t>
        </is>
      </c>
      <c r="J25" t="n">
        <v>196.46</v>
      </c>
      <c r="K25" t="n">
        <v>196.46</v>
      </c>
      <c r="L25" t="n">
        <v>0</v>
      </c>
      <c r="M25" t="n">
        <v>0</v>
      </c>
      <c r="N25" t="n">
        <v>-196.46</v>
      </c>
      <c r="O25" t="inlineStr">
        <is>
          <t>Kraken UI screenshot</t>
        </is>
      </c>
    </row>
    <row r="26">
      <c r="A26" t="inlineStr">
        <is>
          <t>2022-01-25</t>
        </is>
      </c>
      <c r="B26" t="inlineStr">
        <is>
          <t>Kraken</t>
        </is>
      </c>
      <c r="C26" t="inlineStr">
        <is>
          <t>BUY</t>
        </is>
      </c>
      <c r="D26" t="inlineStr">
        <is>
          <t>Crypto</t>
        </is>
      </c>
      <c r="E26" t="inlineStr">
        <is>
          <t>BTC</t>
        </is>
      </c>
      <c r="F26" t="inlineStr"/>
      <c r="G26" t="n">
        <v>0.00012</v>
      </c>
      <c r="H26" t="n">
        <v>31916.67</v>
      </c>
      <c r="I26" t="inlineStr">
        <is>
          <t>EUR</t>
        </is>
      </c>
      <c r="J26" t="n">
        <v>3.83</v>
      </c>
      <c r="K26" t="n">
        <v>3.83</v>
      </c>
      <c r="L26" t="n">
        <v>0</v>
      </c>
      <c r="M26" t="n">
        <v>0</v>
      </c>
      <c r="N26" t="n">
        <v>-3.83</v>
      </c>
      <c r="O26" t="inlineStr">
        <is>
          <t>Kraken UI screenshot</t>
        </is>
      </c>
    </row>
    <row r="27">
      <c r="A27" t="inlineStr">
        <is>
          <t>2022-01-25</t>
        </is>
      </c>
      <c r="B27" t="inlineStr">
        <is>
          <t>Kraken</t>
        </is>
      </c>
      <c r="C27" t="inlineStr">
        <is>
          <t>BUY</t>
        </is>
      </c>
      <c r="D27" t="inlineStr">
        <is>
          <t>Crypto</t>
        </is>
      </c>
      <c r="E27" t="inlineStr">
        <is>
          <t>ETH</t>
        </is>
      </c>
      <c r="F27" t="inlineStr"/>
      <c r="G27" t="n">
        <v>0.13909</v>
      </c>
      <c r="H27" t="n">
        <v>2162.27</v>
      </c>
      <c r="I27" t="inlineStr">
        <is>
          <t>EUR</t>
        </is>
      </c>
      <c r="J27" t="n">
        <v>300.75</v>
      </c>
      <c r="K27" t="n">
        <v>300.75</v>
      </c>
      <c r="L27" t="n">
        <v>0</v>
      </c>
      <c r="M27" t="n">
        <v>0</v>
      </c>
      <c r="N27" t="n">
        <v>-300.75</v>
      </c>
      <c r="O27" t="inlineStr">
        <is>
          <t>Kraken UI screenshot</t>
        </is>
      </c>
    </row>
    <row r="28">
      <c r="A28" t="inlineStr">
        <is>
          <t>2022-01-25</t>
        </is>
      </c>
      <c r="B28" t="inlineStr">
        <is>
          <t>Kraken</t>
        </is>
      </c>
      <c r="C28" t="inlineStr">
        <is>
          <t>BUY</t>
        </is>
      </c>
      <c r="D28" t="inlineStr">
        <is>
          <t>Crypto</t>
        </is>
      </c>
      <c r="E28" t="inlineStr">
        <is>
          <t>SOL</t>
        </is>
      </c>
      <c r="F28" t="inlineStr"/>
      <c r="G28" t="n">
        <v>1.19878</v>
      </c>
      <c r="H28" t="n">
        <v>82.54000000000001</v>
      </c>
      <c r="I28" t="inlineStr">
        <is>
          <t>EUR</t>
        </is>
      </c>
      <c r="J28" t="n">
        <v>98.95</v>
      </c>
      <c r="K28" t="n">
        <v>98.95</v>
      </c>
      <c r="L28" t="n">
        <v>0</v>
      </c>
      <c r="M28" t="n">
        <v>0</v>
      </c>
      <c r="N28" t="n">
        <v>-98.95</v>
      </c>
      <c r="O28" t="inlineStr">
        <is>
          <t>Kraken UI screenshot</t>
        </is>
      </c>
    </row>
    <row r="29">
      <c r="A29" t="inlineStr">
        <is>
          <t>2022-06-22</t>
        </is>
      </c>
      <c r="B29" t="inlineStr">
        <is>
          <t>Trading212</t>
        </is>
      </c>
      <c r="C29" t="inlineStr">
        <is>
          <t>DIVIDEND</t>
        </is>
      </c>
      <c r="D29" t="inlineStr">
        <is>
          <t>Stock</t>
        </is>
      </c>
      <c r="E29" t="inlineStr">
        <is>
          <t>TCEHY</t>
        </is>
      </c>
      <c r="F29" t="inlineStr"/>
      <c r="G29" t="n">
        <v>3.934227</v>
      </c>
      <c r="H29" t="n">
        <v>0</v>
      </c>
      <c r="I29" t="inlineStr">
        <is>
          <t>USD</t>
        </is>
      </c>
      <c r="J29" t="n">
        <v>0.76</v>
      </c>
      <c r="K29" t="n">
        <v>0.76</v>
      </c>
      <c r="L29" t="n">
        <v>0</v>
      </c>
      <c r="M29" t="n">
        <v>0</v>
      </c>
      <c r="N29" t="n">
        <v>0.76</v>
      </c>
      <c r="O29" t="inlineStr">
        <is>
          <t>Dividendo</t>
        </is>
      </c>
    </row>
    <row r="30">
      <c r="A30" t="inlineStr">
        <is>
          <t>2022-11-02</t>
        </is>
      </c>
      <c r="B30" t="inlineStr">
        <is>
          <t>Degiro</t>
        </is>
      </c>
      <c r="C30" t="inlineStr">
        <is>
          <t>SELL</t>
        </is>
      </c>
      <c r="D30" t="inlineStr">
        <is>
          <t>Stock</t>
        </is>
      </c>
      <c r="E30" t="inlineStr">
        <is>
          <t>TWTR</t>
        </is>
      </c>
      <c r="F30" t="inlineStr">
        <is>
          <t>US90184L1026</t>
        </is>
      </c>
      <c r="G30" t="n">
        <v>5</v>
      </c>
      <c r="H30" t="n">
        <v>54.2</v>
      </c>
      <c r="I30" t="inlineStr">
        <is>
          <t>USD</t>
        </is>
      </c>
      <c r="J30" t="n">
        <v>271</v>
      </c>
      <c r="K30" t="n">
        <v>278.75</v>
      </c>
      <c r="L30" t="n">
        <v>0.9722</v>
      </c>
      <c r="M30" t="n">
        <v>0</v>
      </c>
      <c r="N30" t="n">
        <v>278.75</v>
      </c>
      <c r="O30" t="inlineStr">
        <is>
          <t>OPA Twitter</t>
        </is>
      </c>
    </row>
    <row r="31">
      <c r="A31" t="inlineStr">
        <is>
          <t>2023-02-02</t>
        </is>
      </c>
      <c r="B31" t="inlineStr">
        <is>
          <t>Kraken</t>
        </is>
      </c>
      <c r="C31" t="inlineStr">
        <is>
          <t>BUY</t>
        </is>
      </c>
      <c r="D31" t="inlineStr">
        <is>
          <t>Crypto</t>
        </is>
      </c>
      <c r="E31" t="inlineStr">
        <is>
          <t>BTC</t>
        </is>
      </c>
      <c r="F31" t="inlineStr"/>
      <c r="G31" t="n">
        <v>0.00684</v>
      </c>
      <c r="H31" t="n">
        <v>21929.82</v>
      </c>
      <c r="I31" t="inlineStr">
        <is>
          <t>EUR</t>
        </is>
      </c>
      <c r="J31" t="n">
        <v>150</v>
      </c>
      <c r="K31" t="n">
        <v>150</v>
      </c>
      <c r="L31" t="n">
        <v>0</v>
      </c>
      <c r="M31" t="n">
        <v>0</v>
      </c>
      <c r="N31" t="n">
        <v>-150</v>
      </c>
      <c r="O31" t="inlineStr">
        <is>
          <t>Kraken UI screenshot</t>
        </is>
      </c>
    </row>
    <row r="32">
      <c r="A32" t="inlineStr">
        <is>
          <t>2023-02-02</t>
        </is>
      </c>
      <c r="B32" t="inlineStr">
        <is>
          <t>Kraken</t>
        </is>
      </c>
      <c r="C32" t="inlineStr">
        <is>
          <t>BUY</t>
        </is>
      </c>
      <c r="D32" t="inlineStr">
        <is>
          <t>Crypto</t>
        </is>
      </c>
      <c r="E32" t="inlineStr">
        <is>
          <t>ETH</t>
        </is>
      </c>
      <c r="F32" t="inlineStr"/>
      <c r="G32" t="n">
        <v>0.09767000000000001</v>
      </c>
      <c r="H32" t="n">
        <v>1535.78</v>
      </c>
      <c r="I32" t="inlineStr">
        <is>
          <t>EUR</t>
        </is>
      </c>
      <c r="J32" t="n">
        <v>150</v>
      </c>
      <c r="K32" t="n">
        <v>150</v>
      </c>
      <c r="L32" t="n">
        <v>0</v>
      </c>
      <c r="M32" t="n">
        <v>0</v>
      </c>
      <c r="N32" t="n">
        <v>-150</v>
      </c>
      <c r="O32" t="inlineStr">
        <is>
          <t>Kraken UI screenshot</t>
        </is>
      </c>
    </row>
    <row r="33">
      <c r="A33" t="inlineStr">
        <is>
          <t>2023-04-12</t>
        </is>
      </c>
      <c r="B33" t="inlineStr">
        <is>
          <t>Trading212</t>
        </is>
      </c>
      <c r="C33" t="inlineStr">
        <is>
          <t>DIVIDEND</t>
        </is>
      </c>
      <c r="D33" t="inlineStr">
        <is>
          <t>Stock</t>
        </is>
      </c>
      <c r="E33" t="inlineStr">
        <is>
          <t>TCEHY</t>
        </is>
      </c>
      <c r="F33" t="inlineStr"/>
      <c r="G33" t="n">
        <v>3.934227</v>
      </c>
      <c r="H33" t="n">
        <v>0</v>
      </c>
      <c r="I33" t="inlineStr">
        <is>
          <t>USD</t>
        </is>
      </c>
      <c r="J33" t="n">
        <v>6.09</v>
      </c>
      <c r="K33" t="n">
        <v>6.09</v>
      </c>
      <c r="L33" t="n">
        <v>0</v>
      </c>
      <c r="M33" t="n">
        <v>0</v>
      </c>
      <c r="N33" t="n">
        <v>6.09</v>
      </c>
      <c r="O33" t="inlineStr">
        <is>
          <t>Dividendo</t>
        </is>
      </c>
    </row>
    <row r="34">
      <c r="A34" t="inlineStr">
        <is>
          <t>2023-04-23</t>
        </is>
      </c>
      <c r="B34" t="inlineStr">
        <is>
          <t>Kraken</t>
        </is>
      </c>
      <c r="C34" t="inlineStr">
        <is>
          <t>BUY</t>
        </is>
      </c>
      <c r="D34" t="inlineStr">
        <is>
          <t>Crypto</t>
        </is>
      </c>
      <c r="E34" t="inlineStr">
        <is>
          <t>BTC</t>
        </is>
      </c>
      <c r="F34" t="inlineStr"/>
      <c r="G34" t="n">
        <v>0.00777</v>
      </c>
      <c r="H34" t="n">
        <v>25740.03</v>
      </c>
      <c r="I34" t="inlineStr">
        <is>
          <t>EUR</t>
        </is>
      </c>
      <c r="J34" t="n">
        <v>200</v>
      </c>
      <c r="K34" t="n">
        <v>200</v>
      </c>
      <c r="L34" t="n">
        <v>0</v>
      </c>
      <c r="M34" t="n">
        <v>0</v>
      </c>
      <c r="N34" t="n">
        <v>-200</v>
      </c>
      <c r="O34" t="inlineStr">
        <is>
          <t>Kraken UI screenshot</t>
        </is>
      </c>
    </row>
    <row r="35">
      <c r="A35" t="inlineStr">
        <is>
          <t>2023-06-21</t>
        </is>
      </c>
      <c r="B35" t="inlineStr">
        <is>
          <t>Trading212</t>
        </is>
      </c>
      <c r="C35" t="inlineStr">
        <is>
          <t>DIVIDEND</t>
        </is>
      </c>
      <c r="D35" t="inlineStr">
        <is>
          <t>Stock</t>
        </is>
      </c>
      <c r="E35" t="inlineStr">
        <is>
          <t>TCEHY</t>
        </is>
      </c>
      <c r="F35" t="inlineStr"/>
      <c r="G35" t="n">
        <v>3.934227</v>
      </c>
      <c r="H35" t="n">
        <v>0</v>
      </c>
      <c r="I35" t="inlineStr">
        <is>
          <t>USD</t>
        </is>
      </c>
      <c r="J35" t="n">
        <v>1.1</v>
      </c>
      <c r="K35" t="n">
        <v>1.1</v>
      </c>
      <c r="L35" t="n">
        <v>0</v>
      </c>
      <c r="M35" t="n">
        <v>0</v>
      </c>
      <c r="N35" t="n">
        <v>1.1</v>
      </c>
      <c r="O35" t="inlineStr">
        <is>
          <t>Dividendo</t>
        </is>
      </c>
    </row>
    <row r="36">
      <c r="A36" t="inlineStr">
        <is>
          <t>2024-01-18</t>
        </is>
      </c>
      <c r="B36" t="inlineStr">
        <is>
          <t>Trading212</t>
        </is>
      </c>
      <c r="C36" t="inlineStr">
        <is>
          <t>DIVIDEND</t>
        </is>
      </c>
      <c r="D36" t="inlineStr">
        <is>
          <t>Stock</t>
        </is>
      </c>
      <c r="E36" t="inlineStr">
        <is>
          <t>BABA</t>
        </is>
      </c>
      <c r="F36" t="inlineStr"/>
      <c r="G36" t="n">
        <v>3.972598</v>
      </c>
      <c r="H36" t="n">
        <v>0</v>
      </c>
      <c r="I36" t="inlineStr">
        <is>
          <t>USD</t>
        </is>
      </c>
      <c r="J36" t="n">
        <v>3.65</v>
      </c>
      <c r="K36" t="n">
        <v>3.65</v>
      </c>
      <c r="L36" t="n">
        <v>0</v>
      </c>
      <c r="M36" t="n">
        <v>0</v>
      </c>
      <c r="N36" t="n">
        <v>3.65</v>
      </c>
      <c r="O36" t="inlineStr">
        <is>
          <t>Dividendo</t>
        </is>
      </c>
    </row>
    <row r="37">
      <c r="A37" t="inlineStr">
        <is>
          <t>2024-02-16</t>
        </is>
      </c>
      <c r="B37" t="inlineStr">
        <is>
          <t>Degiro</t>
        </is>
      </c>
      <c r="C37" t="inlineStr">
        <is>
          <t>SELL</t>
        </is>
      </c>
      <c r="D37" t="inlineStr">
        <is>
          <t>Stock</t>
        </is>
      </c>
      <c r="E37" t="inlineStr">
        <is>
          <t>DIS</t>
        </is>
      </c>
      <c r="F37" t="inlineStr">
        <is>
          <t>US2546871060</t>
        </is>
      </c>
      <c r="G37" t="n">
        <v>2</v>
      </c>
      <c r="H37" t="n">
        <v>112.11</v>
      </c>
      <c r="I37" t="inlineStr">
        <is>
          <t>USD</t>
        </is>
      </c>
      <c r="J37" t="n">
        <v>224.22</v>
      </c>
      <c r="K37" t="n">
        <v>206.56</v>
      </c>
      <c r="L37" t="n">
        <v>1.0751</v>
      </c>
      <c r="M37" t="n">
        <v>2.52</v>
      </c>
      <c r="N37" t="n">
        <v>204.04</v>
      </c>
      <c r="O37" t="inlineStr"/>
    </row>
    <row r="38">
      <c r="A38" t="inlineStr">
        <is>
          <t>2024-03-26</t>
        </is>
      </c>
      <c r="B38" t="inlineStr">
        <is>
          <t>Trading212</t>
        </is>
      </c>
      <c r="C38" t="inlineStr">
        <is>
          <t>DIVIDEND</t>
        </is>
      </c>
      <c r="D38" t="inlineStr">
        <is>
          <t>Stock</t>
        </is>
      </c>
      <c r="E38" t="inlineStr">
        <is>
          <t>META</t>
        </is>
      </c>
      <c r="F38" t="inlineStr"/>
      <c r="G38" t="n">
        <v>0.655674</v>
      </c>
      <c r="H38" t="n">
        <v>0</v>
      </c>
      <c r="I38" t="inlineStr">
        <is>
          <t>USD</t>
        </is>
      </c>
      <c r="J38" t="n">
        <v>0.26</v>
      </c>
      <c r="K38" t="n">
        <v>0.26</v>
      </c>
      <c r="L38" t="n">
        <v>0</v>
      </c>
      <c r="M38" t="n">
        <v>0</v>
      </c>
      <c r="N38" t="n">
        <v>0.26</v>
      </c>
      <c r="O38" t="inlineStr">
        <is>
          <t>Dividendo</t>
        </is>
      </c>
    </row>
    <row r="39">
      <c r="A39" t="inlineStr">
        <is>
          <t>2024-04-22</t>
        </is>
      </c>
      <c r="B39" t="inlineStr">
        <is>
          <t>Trading212</t>
        </is>
      </c>
      <c r="C39" t="inlineStr">
        <is>
          <t>SELL</t>
        </is>
      </c>
      <c r="D39" t="inlineStr">
        <is>
          <t>Stock</t>
        </is>
      </c>
      <c r="E39" t="inlineStr">
        <is>
          <t>PLTR</t>
        </is>
      </c>
      <c r="F39" t="inlineStr"/>
      <c r="G39" t="n">
        <v>32.751651</v>
      </c>
      <c r="H39" t="n">
        <v>20.72</v>
      </c>
      <c r="I39" t="inlineStr">
        <is>
          <t>USD</t>
        </is>
      </c>
      <c r="J39" t="n">
        <v>678.61</v>
      </c>
      <c r="K39" t="n">
        <v>638.53</v>
      </c>
      <c r="L39" t="n">
        <v>1.0628</v>
      </c>
      <c r="M39" t="n">
        <v>0</v>
      </c>
      <c r="N39" t="n">
        <v>638.53</v>
      </c>
      <c r="O39" t="inlineStr"/>
    </row>
    <row r="40">
      <c r="A40" t="inlineStr">
        <is>
          <t>2024-06-17</t>
        </is>
      </c>
      <c r="B40" t="inlineStr">
        <is>
          <t>Trading212</t>
        </is>
      </c>
      <c r="C40" t="inlineStr">
        <is>
          <t>DIVIDEND</t>
        </is>
      </c>
      <c r="D40" t="inlineStr">
        <is>
          <t>Stock</t>
        </is>
      </c>
      <c r="E40" t="inlineStr">
        <is>
          <t>TCEHY</t>
        </is>
      </c>
      <c r="F40" t="inlineStr"/>
      <c r="G40" t="n">
        <v>3.934227</v>
      </c>
      <c r="H40" t="n">
        <v>0</v>
      </c>
      <c r="I40" t="inlineStr">
        <is>
          <t>USD</t>
        </is>
      </c>
      <c r="J40" t="n">
        <v>1.6</v>
      </c>
      <c r="K40" t="n">
        <v>1.6</v>
      </c>
      <c r="L40" t="n">
        <v>0</v>
      </c>
      <c r="M40" t="n">
        <v>0</v>
      </c>
      <c r="N40" t="n">
        <v>1.6</v>
      </c>
      <c r="O40" t="inlineStr">
        <is>
          <t>Dividendo</t>
        </is>
      </c>
    </row>
    <row r="41">
      <c r="A41" t="inlineStr">
        <is>
          <t>2024-06-26</t>
        </is>
      </c>
      <c r="B41" t="inlineStr">
        <is>
          <t>Trading212</t>
        </is>
      </c>
      <c r="C41" t="inlineStr">
        <is>
          <t>DIVIDEND</t>
        </is>
      </c>
      <c r="D41" t="inlineStr">
        <is>
          <t>Stock</t>
        </is>
      </c>
      <c r="E41" t="inlineStr">
        <is>
          <t>META</t>
        </is>
      </c>
      <c r="F41" t="inlineStr"/>
      <c r="G41" t="n">
        <v>0.655674</v>
      </c>
      <c r="H41" t="n">
        <v>0</v>
      </c>
      <c r="I41" t="inlineStr">
        <is>
          <t>USD</t>
        </is>
      </c>
      <c r="J41" t="n">
        <v>0.26</v>
      </c>
      <c r="K41" t="n">
        <v>0.26</v>
      </c>
      <c r="L41" t="n">
        <v>0</v>
      </c>
      <c r="M41" t="n">
        <v>0</v>
      </c>
      <c r="N41" t="n">
        <v>0.26</v>
      </c>
      <c r="O41" t="inlineStr">
        <is>
          <t>Dividendo</t>
        </is>
      </c>
    </row>
    <row r="42">
      <c r="A42" t="inlineStr">
        <is>
          <t>2024-07-12</t>
        </is>
      </c>
      <c r="B42" t="inlineStr">
        <is>
          <t>Trading212</t>
        </is>
      </c>
      <c r="C42" t="inlineStr">
        <is>
          <t>DIVIDEND</t>
        </is>
      </c>
      <c r="D42" t="inlineStr">
        <is>
          <t>Stock</t>
        </is>
      </c>
      <c r="E42" t="inlineStr">
        <is>
          <t>BABA</t>
        </is>
      </c>
      <c r="F42" t="inlineStr"/>
      <c r="G42" t="n">
        <v>3.972598</v>
      </c>
      <c r="H42" t="n">
        <v>0</v>
      </c>
      <c r="I42" t="inlineStr">
        <is>
          <t>USD</t>
        </is>
      </c>
      <c r="J42" t="n">
        <v>3.65</v>
      </c>
      <c r="K42" t="n">
        <v>3.65</v>
      </c>
      <c r="L42" t="n">
        <v>0</v>
      </c>
      <c r="M42" t="n">
        <v>0</v>
      </c>
      <c r="N42" t="n">
        <v>3.65</v>
      </c>
      <c r="O42" t="inlineStr">
        <is>
          <t>Dividendo</t>
        </is>
      </c>
    </row>
    <row r="43">
      <c r="A43" t="inlineStr">
        <is>
          <t>2024-07-12</t>
        </is>
      </c>
      <c r="B43" t="inlineStr">
        <is>
          <t>Trading212</t>
        </is>
      </c>
      <c r="C43" t="inlineStr">
        <is>
          <t>DIVIDEND</t>
        </is>
      </c>
      <c r="D43" t="inlineStr">
        <is>
          <t>Stock</t>
        </is>
      </c>
      <c r="E43" t="inlineStr">
        <is>
          <t>BABA</t>
        </is>
      </c>
      <c r="F43" t="inlineStr"/>
      <c r="G43" t="n">
        <v>3.972598</v>
      </c>
      <c r="H43" t="n">
        <v>0</v>
      </c>
      <c r="I43" t="inlineStr">
        <is>
          <t>USD</t>
        </is>
      </c>
      <c r="J43" t="n">
        <v>2.41</v>
      </c>
      <c r="K43" t="n">
        <v>2.41</v>
      </c>
      <c r="L43" t="n">
        <v>0</v>
      </c>
      <c r="M43" t="n">
        <v>0</v>
      </c>
      <c r="N43" t="n">
        <v>2.41</v>
      </c>
      <c r="O43" t="inlineStr">
        <is>
          <t>Dividendo</t>
        </is>
      </c>
    </row>
    <row r="44">
      <c r="A44" t="inlineStr">
        <is>
          <t>2024-09-26</t>
        </is>
      </c>
      <c r="B44" t="inlineStr">
        <is>
          <t>Trading212</t>
        </is>
      </c>
      <c r="C44" t="inlineStr">
        <is>
          <t>SELL</t>
        </is>
      </c>
      <c r="D44" t="inlineStr">
        <is>
          <t>Stock</t>
        </is>
      </c>
      <c r="E44" t="inlineStr">
        <is>
          <t>SQ</t>
        </is>
      </c>
      <c r="F44" t="inlineStr"/>
      <c r="G44" t="n">
        <v>1.170076</v>
      </c>
      <c r="H44" t="n">
        <v>65.79000000000001</v>
      </c>
      <c r="I44" t="inlineStr">
        <is>
          <t>USD</t>
        </is>
      </c>
      <c r="J44" t="n">
        <v>76.98</v>
      </c>
      <c r="K44" t="n">
        <v>69.02</v>
      </c>
      <c r="L44" t="n">
        <v>1.1153</v>
      </c>
      <c r="M44" t="n">
        <v>0</v>
      </c>
      <c r="N44" t="n">
        <v>69.02</v>
      </c>
      <c r="O44" t="inlineStr"/>
    </row>
    <row r="45">
      <c r="A45" t="inlineStr">
        <is>
          <t>2024-09-26</t>
        </is>
      </c>
      <c r="B45" t="inlineStr">
        <is>
          <t>Trading212</t>
        </is>
      </c>
      <c r="C45" t="inlineStr">
        <is>
          <t>SELL</t>
        </is>
      </c>
      <c r="D45" t="inlineStr">
        <is>
          <t>Stock</t>
        </is>
      </c>
      <c r="E45" t="inlineStr">
        <is>
          <t>BABA</t>
        </is>
      </c>
      <c r="F45" t="inlineStr"/>
      <c r="G45" t="n">
        <v>3.972598</v>
      </c>
      <c r="H45" t="n">
        <v>102.88</v>
      </c>
      <c r="I45" t="inlineStr">
        <is>
          <t>USD</t>
        </is>
      </c>
      <c r="J45" t="n">
        <v>408.7</v>
      </c>
      <c r="K45" t="n">
        <v>366.31</v>
      </c>
      <c r="L45" t="n">
        <v>1.1157</v>
      </c>
      <c r="M45" t="n">
        <v>0</v>
      </c>
      <c r="N45" t="n">
        <v>366.31</v>
      </c>
      <c r="O45" t="inlineStr"/>
    </row>
    <row r="46">
      <c r="A46" t="inlineStr">
        <is>
          <t>2024-09-26</t>
        </is>
      </c>
      <c r="B46" t="inlineStr">
        <is>
          <t>Trading212</t>
        </is>
      </c>
      <c r="C46" t="inlineStr">
        <is>
          <t>SELL</t>
        </is>
      </c>
      <c r="D46" t="inlineStr">
        <is>
          <t>Stock</t>
        </is>
      </c>
      <c r="E46" t="inlineStr">
        <is>
          <t>NU</t>
        </is>
      </c>
      <c r="F46" t="inlineStr"/>
      <c r="G46" t="n">
        <v>2.159039</v>
      </c>
      <c r="H46" t="n">
        <v>14.78</v>
      </c>
      <c r="I46" t="inlineStr">
        <is>
          <t>USD</t>
        </is>
      </c>
      <c r="J46" t="n">
        <v>31.91</v>
      </c>
      <c r="K46" t="n">
        <v>28.6</v>
      </c>
      <c r="L46" t="n">
        <v>1.1156</v>
      </c>
      <c r="M46" t="n">
        <v>0</v>
      </c>
      <c r="N46" t="n">
        <v>28.6</v>
      </c>
      <c r="O46" t="inlineStr"/>
    </row>
    <row r="47">
      <c r="A47" t="inlineStr">
        <is>
          <t>2024-09-26</t>
        </is>
      </c>
      <c r="B47" t="inlineStr">
        <is>
          <t>Trading212</t>
        </is>
      </c>
      <c r="C47" t="inlineStr">
        <is>
          <t>SELL</t>
        </is>
      </c>
      <c r="D47" t="inlineStr">
        <is>
          <t>Stock</t>
        </is>
      </c>
      <c r="E47" t="inlineStr">
        <is>
          <t>SHOP</t>
        </is>
      </c>
      <c r="F47" t="inlineStr"/>
      <c r="G47" t="n">
        <v>3.387701</v>
      </c>
      <c r="H47" t="n">
        <v>80.81</v>
      </c>
      <c r="I47" t="inlineStr">
        <is>
          <t>USD</t>
        </is>
      </c>
      <c r="J47" t="n">
        <v>273.76</v>
      </c>
      <c r="K47" t="n">
        <v>245.39</v>
      </c>
      <c r="L47" t="n">
        <v>1.1156</v>
      </c>
      <c r="M47" t="n">
        <v>0</v>
      </c>
      <c r="N47" t="n">
        <v>245.39</v>
      </c>
      <c r="O47" t="inlineStr"/>
    </row>
    <row r="48">
      <c r="A48" t="inlineStr">
        <is>
          <t>2024-09-26</t>
        </is>
      </c>
      <c r="B48" t="inlineStr">
        <is>
          <t>Trading212</t>
        </is>
      </c>
      <c r="C48" t="inlineStr">
        <is>
          <t>SELL</t>
        </is>
      </c>
      <c r="D48" t="inlineStr">
        <is>
          <t>Stock</t>
        </is>
      </c>
      <c r="E48" t="inlineStr">
        <is>
          <t>NU</t>
        </is>
      </c>
      <c r="F48" t="inlineStr"/>
      <c r="G48" t="n">
        <v>12.844</v>
      </c>
      <c r="H48" t="n">
        <v>14.82</v>
      </c>
      <c r="I48" t="inlineStr">
        <is>
          <t>USD</t>
        </is>
      </c>
      <c r="J48" t="n">
        <v>190.35</v>
      </c>
      <c r="K48" t="n">
        <v>170.62</v>
      </c>
      <c r="L48" t="n">
        <v>1.1156</v>
      </c>
      <c r="M48" t="n">
        <v>0</v>
      </c>
      <c r="N48" t="n">
        <v>170.62</v>
      </c>
      <c r="O48" t="inlineStr"/>
    </row>
    <row r="49">
      <c r="A49" t="inlineStr">
        <is>
          <t>2024-09-26</t>
        </is>
      </c>
      <c r="B49" t="inlineStr">
        <is>
          <t>Trading212</t>
        </is>
      </c>
      <c r="C49" t="inlineStr">
        <is>
          <t>SELL</t>
        </is>
      </c>
      <c r="D49" t="inlineStr">
        <is>
          <t>Stock</t>
        </is>
      </c>
      <c r="E49" t="inlineStr">
        <is>
          <t>NU</t>
        </is>
      </c>
      <c r="F49" t="inlineStr"/>
      <c r="G49" t="n">
        <v>101.9</v>
      </c>
      <c r="H49" t="n">
        <v>14.84</v>
      </c>
      <c r="I49" t="inlineStr">
        <is>
          <t>USD</t>
        </is>
      </c>
      <c r="J49" t="n">
        <v>1512.2</v>
      </c>
      <c r="K49" t="n">
        <v>1355.49</v>
      </c>
      <c r="L49" t="n">
        <v>1.1156</v>
      </c>
      <c r="M49" t="n">
        <v>0</v>
      </c>
      <c r="N49" t="n">
        <v>1355.49</v>
      </c>
      <c r="O49" t="inlineStr"/>
    </row>
    <row r="50">
      <c r="A50" t="inlineStr">
        <is>
          <t>2024-09-26</t>
        </is>
      </c>
      <c r="B50" t="inlineStr">
        <is>
          <t>Trading212</t>
        </is>
      </c>
      <c r="C50" t="inlineStr">
        <is>
          <t>SELL</t>
        </is>
      </c>
      <c r="D50" t="inlineStr">
        <is>
          <t>Stock</t>
        </is>
      </c>
      <c r="E50" t="inlineStr">
        <is>
          <t>BA</t>
        </is>
      </c>
      <c r="F50" t="inlineStr"/>
      <c r="G50" t="n">
        <v>3.298344</v>
      </c>
      <c r="H50" t="n">
        <v>154</v>
      </c>
      <c r="I50" t="inlineStr">
        <is>
          <t>USD</t>
        </is>
      </c>
      <c r="J50" t="n">
        <v>507.94</v>
      </c>
      <c r="K50" t="n">
        <v>455.32</v>
      </c>
      <c r="L50" t="n">
        <v>1.1156</v>
      </c>
      <c r="M50" t="n">
        <v>0</v>
      </c>
      <c r="N50" t="n">
        <v>455.32</v>
      </c>
      <c r="O50" t="inlineStr"/>
    </row>
    <row r="51">
      <c r="A51" t="inlineStr">
        <is>
          <t>2024-09-26</t>
        </is>
      </c>
      <c r="B51" t="inlineStr">
        <is>
          <t>Trading212</t>
        </is>
      </c>
      <c r="C51" t="inlineStr">
        <is>
          <t>SELL</t>
        </is>
      </c>
      <c r="D51" t="inlineStr">
        <is>
          <t>Stock</t>
        </is>
      </c>
      <c r="E51" t="inlineStr">
        <is>
          <t>MELI</t>
        </is>
      </c>
      <c r="F51" t="inlineStr"/>
      <c r="G51" t="n">
        <v>0.279474</v>
      </c>
      <c r="H51" t="n">
        <v>2144</v>
      </c>
      <c r="I51" t="inlineStr">
        <is>
          <t>USD</t>
        </is>
      </c>
      <c r="J51" t="n">
        <v>599.1900000000001</v>
      </c>
      <c r="K51" t="n">
        <v>537.11</v>
      </c>
      <c r="L51" t="n">
        <v>1.1156</v>
      </c>
      <c r="M51" t="n">
        <v>0</v>
      </c>
      <c r="N51" t="n">
        <v>537.11</v>
      </c>
      <c r="O51" t="inlineStr"/>
    </row>
    <row r="52">
      <c r="A52" t="inlineStr">
        <is>
          <t>2024-09-26</t>
        </is>
      </c>
      <c r="B52" t="inlineStr">
        <is>
          <t>Trading212</t>
        </is>
      </c>
      <c r="C52" t="inlineStr">
        <is>
          <t>SELL</t>
        </is>
      </c>
      <c r="D52" t="inlineStr">
        <is>
          <t>Stock</t>
        </is>
      </c>
      <c r="E52" t="inlineStr">
        <is>
          <t>META</t>
        </is>
      </c>
      <c r="F52" t="inlineStr"/>
      <c r="G52" t="n">
        <v>0.655674</v>
      </c>
      <c r="H52" t="n">
        <v>575</v>
      </c>
      <c r="I52" t="inlineStr">
        <is>
          <t>USD</t>
        </is>
      </c>
      <c r="J52" t="n">
        <v>377.01</v>
      </c>
      <c r="K52" t="n">
        <v>337.95</v>
      </c>
      <c r="L52" t="n">
        <v>1.1156</v>
      </c>
      <c r="M52" t="n">
        <v>0</v>
      </c>
      <c r="N52" t="n">
        <v>337.95</v>
      </c>
      <c r="O52" t="inlineStr"/>
    </row>
    <row r="53">
      <c r="A53" t="inlineStr">
        <is>
          <t>2024-09-26</t>
        </is>
      </c>
      <c r="B53" t="inlineStr">
        <is>
          <t>Trading212</t>
        </is>
      </c>
      <c r="C53" t="inlineStr">
        <is>
          <t>SELL</t>
        </is>
      </c>
      <c r="D53" t="inlineStr">
        <is>
          <t>Stock</t>
        </is>
      </c>
      <c r="E53" t="inlineStr">
        <is>
          <t>SHOP</t>
        </is>
      </c>
      <c r="F53" t="inlineStr"/>
      <c r="G53" t="n">
        <v>2.037</v>
      </c>
      <c r="H53" t="n">
        <v>80.55</v>
      </c>
      <c r="I53" t="inlineStr">
        <is>
          <t>USD</t>
        </is>
      </c>
      <c r="J53" t="n">
        <v>164.08</v>
      </c>
      <c r="K53" t="n">
        <v>147.08</v>
      </c>
      <c r="L53" t="n">
        <v>1.1156</v>
      </c>
      <c r="M53" t="n">
        <v>0</v>
      </c>
      <c r="N53" t="n">
        <v>147.08</v>
      </c>
      <c r="O53" t="inlineStr"/>
    </row>
    <row r="54">
      <c r="A54" t="inlineStr">
        <is>
          <t>2024-09-26</t>
        </is>
      </c>
      <c r="B54" t="inlineStr">
        <is>
          <t>Trading212</t>
        </is>
      </c>
      <c r="C54" t="inlineStr">
        <is>
          <t>SELL</t>
        </is>
      </c>
      <c r="D54" t="inlineStr">
        <is>
          <t>Stock</t>
        </is>
      </c>
      <c r="E54" t="inlineStr">
        <is>
          <t>TCEHY</t>
        </is>
      </c>
      <c r="F54" t="inlineStr"/>
      <c r="G54" t="n">
        <v>3.934227</v>
      </c>
      <c r="H54" t="n">
        <v>55</v>
      </c>
      <c r="I54" t="inlineStr">
        <is>
          <t>USD</t>
        </is>
      </c>
      <c r="J54" t="n">
        <v>216.38</v>
      </c>
      <c r="K54" t="n">
        <v>193.96</v>
      </c>
      <c r="L54" t="n">
        <v>1.1156</v>
      </c>
      <c r="M54" t="n">
        <v>0</v>
      </c>
      <c r="N54" t="n">
        <v>193.96</v>
      </c>
      <c r="O54" t="inlineStr"/>
    </row>
    <row r="55">
      <c r="A55" t="inlineStr">
        <is>
          <t>2024-09-26</t>
        </is>
      </c>
      <c r="B55" t="inlineStr">
        <is>
          <t>Trading212</t>
        </is>
      </c>
      <c r="C55" t="inlineStr">
        <is>
          <t>DIVIDEND</t>
        </is>
      </c>
      <c r="D55" t="inlineStr">
        <is>
          <t>Stock</t>
        </is>
      </c>
      <c r="E55" t="inlineStr">
        <is>
          <t>META</t>
        </is>
      </c>
      <c r="F55" t="inlineStr"/>
      <c r="G55" t="n">
        <v>0.655674</v>
      </c>
      <c r="H55" t="n">
        <v>0</v>
      </c>
      <c r="I55" t="inlineStr">
        <is>
          <t>USD</t>
        </is>
      </c>
      <c r="J55" t="n">
        <v>0.26</v>
      </c>
      <c r="K55" t="n">
        <v>0.26</v>
      </c>
      <c r="L55" t="n">
        <v>0</v>
      </c>
      <c r="M55" t="n">
        <v>0</v>
      </c>
      <c r="N55" t="n">
        <v>0.26</v>
      </c>
      <c r="O55" t="inlineStr">
        <is>
          <t>Dividendo</t>
        </is>
      </c>
    </row>
    <row r="56">
      <c r="A56" t="inlineStr">
        <is>
          <t>2025-04-03</t>
        </is>
      </c>
      <c r="B56" t="inlineStr">
        <is>
          <t>Degiro</t>
        </is>
      </c>
      <c r="C56" t="inlineStr">
        <is>
          <t>BUY</t>
        </is>
      </c>
      <c r="D56" t="inlineStr">
        <is>
          <t>ETF</t>
        </is>
      </c>
      <c r="E56" t="inlineStr">
        <is>
          <t>CSPX</t>
        </is>
      </c>
      <c r="F56" t="inlineStr">
        <is>
          <t>IE0031442068</t>
        </is>
      </c>
      <c r="G56" t="n">
        <v>3</v>
      </c>
      <c r="H56" t="n">
        <v>48.855</v>
      </c>
      <c r="I56" t="inlineStr">
        <is>
          <t>EUR</t>
        </is>
      </c>
      <c r="J56" t="n">
        <v>146.56</v>
      </c>
      <c r="K56" t="n">
        <v>149.56</v>
      </c>
      <c r="L56" t="n">
        <v>0</v>
      </c>
      <c r="M56" t="n">
        <v>3</v>
      </c>
      <c r="N56" t="n">
        <v>-149.56</v>
      </c>
      <c r="O56" t="inlineStr"/>
    </row>
    <row r="57">
      <c r="A57" t="inlineStr">
        <is>
          <t>2025-12-19</t>
        </is>
      </c>
      <c r="B57" t="inlineStr">
        <is>
          <t>Degiro</t>
        </is>
      </c>
      <c r="C57" t="inlineStr">
        <is>
          <t>SELL</t>
        </is>
      </c>
      <c r="D57" t="inlineStr">
        <is>
          <t>Stock</t>
        </is>
      </c>
      <c r="E57" t="inlineStr">
        <is>
          <t>AAPL</t>
        </is>
      </c>
      <c r="F57" t="inlineStr">
        <is>
          <t>US0378331005</t>
        </is>
      </c>
      <c r="G57" t="n">
        <v>2</v>
      </c>
      <c r="H57" t="n">
        <v>272.4</v>
      </c>
      <c r="I57" t="inlineStr">
        <is>
          <t>USD</t>
        </is>
      </c>
      <c r="J57" t="n">
        <v>544.8</v>
      </c>
      <c r="K57" t="n">
        <v>462.37</v>
      </c>
      <c r="L57" t="n">
        <v>1.1732</v>
      </c>
      <c r="M57" t="n">
        <v>3.16</v>
      </c>
      <c r="N57" t="n">
        <v>459.21</v>
      </c>
      <c r="O57" t="inlineStr"/>
    </row>
    <row r="58">
      <c r="A58" t="inlineStr">
        <is>
          <t>2025-12-19</t>
        </is>
      </c>
      <c r="B58" t="inlineStr">
        <is>
          <t>Degiro</t>
        </is>
      </c>
      <c r="C58" t="inlineStr">
        <is>
          <t>SELL</t>
        </is>
      </c>
      <c r="D58" t="inlineStr">
        <is>
          <t>Stock</t>
        </is>
      </c>
      <c r="E58" t="inlineStr">
        <is>
          <t>META</t>
        </is>
      </c>
      <c r="F58" t="inlineStr">
        <is>
          <t>US30303M1027</t>
        </is>
      </c>
      <c r="G58" t="n">
        <v>1</v>
      </c>
      <c r="H58" t="n">
        <v>667.26</v>
      </c>
      <c r="I58" t="inlineStr">
        <is>
          <t>USD</t>
        </is>
      </c>
      <c r="J58" t="n">
        <v>667.26</v>
      </c>
      <c r="K58" t="n">
        <v>566.76</v>
      </c>
      <c r="L58" t="n">
        <v>1.1732</v>
      </c>
      <c r="M58" t="n">
        <v>3.42</v>
      </c>
      <c r="N58" t="n">
        <v>563.34</v>
      </c>
      <c r="O58" t="inlineStr"/>
    </row>
    <row r="59">
      <c r="A59" t="inlineStr">
        <is>
          <t>2025-12-19</t>
        </is>
      </c>
      <c r="B59" t="inlineStr">
        <is>
          <t>Degiro</t>
        </is>
      </c>
      <c r="C59" t="inlineStr">
        <is>
          <t>SELL</t>
        </is>
      </c>
      <c r="D59" t="inlineStr">
        <is>
          <t>Stock</t>
        </is>
      </c>
      <c r="E59" t="inlineStr">
        <is>
          <t>BYND</t>
        </is>
      </c>
      <c r="F59" t="inlineStr">
        <is>
          <t>US08862E1091</t>
        </is>
      </c>
      <c r="G59" t="n">
        <v>2</v>
      </c>
      <c r="H59" t="n">
        <v>1.04</v>
      </c>
      <c r="I59" t="inlineStr">
        <is>
          <t>USD</t>
        </is>
      </c>
      <c r="J59" t="n">
        <v>2.08</v>
      </c>
      <c r="K59" t="n">
        <v>0.23</v>
      </c>
      <c r="L59" t="n">
        <v>1.1732</v>
      </c>
      <c r="M59" t="n">
        <v>2</v>
      </c>
      <c r="N59" t="n">
        <v>-1.77</v>
      </c>
      <c r="O59" t="inlineStr"/>
    </row>
    <row r="60">
      <c r="A60" t="inlineStr">
        <is>
          <t>2025-12-19</t>
        </is>
      </c>
      <c r="B60" t="inlineStr">
        <is>
          <t>Degiro</t>
        </is>
      </c>
      <c r="C60" t="inlineStr">
        <is>
          <t>SELL</t>
        </is>
      </c>
      <c r="D60" t="inlineStr">
        <is>
          <t>Stock</t>
        </is>
      </c>
      <c r="E60" t="inlineStr">
        <is>
          <t>PINS</t>
        </is>
      </c>
      <c r="F60" t="inlineStr">
        <is>
          <t>US72352L1061</t>
        </is>
      </c>
      <c r="G60" t="n">
        <v>5</v>
      </c>
      <c r="H60" t="n">
        <v>26.11</v>
      </c>
      <c r="I60" t="inlineStr">
        <is>
          <t>USD</t>
        </is>
      </c>
      <c r="J60" t="n">
        <v>130.55</v>
      </c>
      <c r="K60" t="n">
        <v>109.28</v>
      </c>
      <c r="L60" t="n">
        <v>1.1732</v>
      </c>
      <c r="M60" t="n">
        <v>2.28</v>
      </c>
      <c r="N60" t="n">
        <v>107</v>
      </c>
      <c r="O60" t="inlineStr"/>
    </row>
    <row r="61">
      <c r="A61" t="inlineStr">
        <is>
          <t>2025-12-19</t>
        </is>
      </c>
      <c r="B61" t="inlineStr">
        <is>
          <t>Degiro</t>
        </is>
      </c>
      <c r="C61" t="inlineStr">
        <is>
          <t>SELL</t>
        </is>
      </c>
      <c r="D61" t="inlineStr">
        <is>
          <t>Stock</t>
        </is>
      </c>
      <c r="E61" t="inlineStr">
        <is>
          <t>CLNX</t>
        </is>
      </c>
      <c r="F61" t="inlineStr">
        <is>
          <t>ES0105066007</t>
        </is>
      </c>
      <c r="G61" t="n">
        <v>3</v>
      </c>
      <c r="H61" t="n">
        <v>26.62</v>
      </c>
      <c r="I61" t="inlineStr">
        <is>
          <t>EUR</t>
        </is>
      </c>
      <c r="J61" t="n">
        <v>79.86</v>
      </c>
      <c r="K61" t="n">
        <v>77.86</v>
      </c>
      <c r="L61" t="n">
        <v>0</v>
      </c>
      <c r="M61" t="n">
        <v>2</v>
      </c>
      <c r="N61" t="n">
        <v>75.86</v>
      </c>
      <c r="O61" t="inlineStr"/>
    </row>
    <row r="62">
      <c r="A62" t="inlineStr">
        <is>
          <t>2025-12-19</t>
        </is>
      </c>
      <c r="B62" t="inlineStr">
        <is>
          <t>Degiro</t>
        </is>
      </c>
      <c r="C62" t="inlineStr">
        <is>
          <t>SELL</t>
        </is>
      </c>
      <c r="D62" t="inlineStr">
        <is>
          <t>Stock</t>
        </is>
      </c>
      <c r="E62" t="inlineStr">
        <is>
          <t>IAG</t>
        </is>
      </c>
      <c r="F62" t="inlineStr">
        <is>
          <t>ES0177542018</t>
        </is>
      </c>
      <c r="G62" t="n">
        <v>50</v>
      </c>
      <c r="H62" t="n">
        <v>4.761</v>
      </c>
      <c r="I62" t="inlineStr">
        <is>
          <t>EUR</t>
        </is>
      </c>
      <c r="J62" t="n">
        <v>238.05</v>
      </c>
      <c r="K62" t="n">
        <v>236.05</v>
      </c>
      <c r="L62" t="n">
        <v>0</v>
      </c>
      <c r="M62" t="n">
        <v>2</v>
      </c>
      <c r="N62" t="n">
        <v>234.05</v>
      </c>
      <c r="O62" t="inlineStr"/>
    </row>
    <row r="63">
      <c r="A63" t="inlineStr">
        <is>
          <t>2025-12-19</t>
        </is>
      </c>
      <c r="B63" t="inlineStr">
        <is>
          <t>Degiro</t>
        </is>
      </c>
      <c r="C63" t="inlineStr">
        <is>
          <t>SELL</t>
        </is>
      </c>
      <c r="D63" t="inlineStr">
        <is>
          <t>ETF</t>
        </is>
      </c>
      <c r="E63" t="inlineStr">
        <is>
          <t>CSPX</t>
        </is>
      </c>
      <c r="F63" t="inlineStr">
        <is>
          <t>IE0031442068</t>
        </is>
      </c>
      <c r="G63" t="n">
        <v>13</v>
      </c>
      <c r="H63" t="n">
        <v>57.677</v>
      </c>
      <c r="I63" t="inlineStr">
        <is>
          <t>EUR</t>
        </is>
      </c>
      <c r="J63" t="n">
        <v>749.8</v>
      </c>
      <c r="K63" t="n">
        <v>746.8</v>
      </c>
      <c r="L63" t="n">
        <v>0</v>
      </c>
      <c r="M63" t="n">
        <v>3</v>
      </c>
      <c r="N63" t="n">
        <v>743.8</v>
      </c>
      <c r="O63" t="inlineStr"/>
    </row>
    <row r="64">
      <c r="A64" t="inlineStr">
        <is>
          <t>2025-12-19</t>
        </is>
      </c>
      <c r="B64" t="inlineStr">
        <is>
          <t>Degiro</t>
        </is>
      </c>
      <c r="C64" t="inlineStr">
        <is>
          <t>SELL</t>
        </is>
      </c>
      <c r="D64" t="inlineStr">
        <is>
          <t>Stock</t>
        </is>
      </c>
      <c r="E64" t="inlineStr">
        <is>
          <t>AIR</t>
        </is>
      </c>
      <c r="F64" t="inlineStr">
        <is>
          <t>NL0000235190</t>
        </is>
      </c>
      <c r="G64" t="n">
        <v>6</v>
      </c>
      <c r="H64" t="n">
        <v>194.48</v>
      </c>
      <c r="I64" t="inlineStr">
        <is>
          <t>EUR</t>
        </is>
      </c>
      <c r="J64" t="n">
        <v>1166.88</v>
      </c>
      <c r="K64" t="n">
        <v>1164.88</v>
      </c>
      <c r="L64" t="n">
        <v>0</v>
      </c>
      <c r="M64" t="n">
        <v>2</v>
      </c>
      <c r="N64" t="n">
        <v>1162.88</v>
      </c>
      <c r="O64" t="inlineStr"/>
    </row>
    <row r="65">
      <c r="A65" t="inlineStr">
        <is>
          <t>PENDIENTE</t>
        </is>
      </c>
      <c r="B65" t="inlineStr">
        <is>
          <t>Trading212</t>
        </is>
      </c>
      <c r="C65" t="inlineStr">
        <is>
          <t>BUY</t>
        </is>
      </c>
      <c r="D65" t="inlineStr">
        <is>
          <t>Stock</t>
        </is>
      </c>
      <c r="E65" t="inlineStr">
        <is>
          <t>SQ</t>
        </is>
      </c>
      <c r="F65" t="inlineStr"/>
      <c r="G65" t="n">
        <v>1.170076</v>
      </c>
      <c r="H65" t="n">
        <v>117.1121</v>
      </c>
      <c r="I65" t="inlineStr">
        <is>
          <t>USD</t>
        </is>
      </c>
      <c r="J65" t="n">
        <v>137.03</v>
      </c>
      <c r="K65" t="n">
        <v>124.82</v>
      </c>
      <c r="L65" t="n">
        <v>1.0978</v>
      </c>
      <c r="M65" t="n">
        <v>0</v>
      </c>
      <c r="N65" t="n">
        <v>-124.82</v>
      </c>
      <c r="O65" t="inlineStr">
        <is>
          <t>Fecha de compra pendiente de confirmar</t>
        </is>
      </c>
    </row>
    <row r="66">
      <c r="A66" t="inlineStr">
        <is>
          <t>PENDIENTE</t>
        </is>
      </c>
      <c r="B66" t="inlineStr">
        <is>
          <t>Trading212</t>
        </is>
      </c>
      <c r="C66" t="inlineStr">
        <is>
          <t>BUY</t>
        </is>
      </c>
      <c r="D66" t="inlineStr">
        <is>
          <t>Stock</t>
        </is>
      </c>
      <c r="E66" t="inlineStr">
        <is>
          <t>BABA</t>
        </is>
      </c>
      <c r="F66" t="inlineStr"/>
      <c r="G66" t="n">
        <v>3.972598</v>
      </c>
      <c r="H66" t="n">
        <v>108.8633</v>
      </c>
      <c r="I66" t="inlineStr">
        <is>
          <t>USD</t>
        </is>
      </c>
      <c r="J66" t="n">
        <v>432.47</v>
      </c>
      <c r="K66" t="n">
        <v>399.39</v>
      </c>
      <c r="L66" t="n">
        <v>1.0828</v>
      </c>
      <c r="M66" t="n">
        <v>0</v>
      </c>
      <c r="N66" t="n">
        <v>-399.39</v>
      </c>
      <c r="O66" t="inlineStr">
        <is>
          <t>Fecha de compra pendiente de confirmar</t>
        </is>
      </c>
    </row>
    <row r="67">
      <c r="A67" t="inlineStr">
        <is>
          <t>PENDIENTE</t>
        </is>
      </c>
      <c r="B67" t="inlineStr">
        <is>
          <t>Trading212</t>
        </is>
      </c>
      <c r="C67" t="inlineStr">
        <is>
          <t>BUY</t>
        </is>
      </c>
      <c r="D67" t="inlineStr">
        <is>
          <t>Stock</t>
        </is>
      </c>
      <c r="E67" t="inlineStr">
        <is>
          <t>NU</t>
        </is>
      </c>
      <c r="F67" t="inlineStr"/>
      <c r="G67" t="n">
        <v>2.159039</v>
      </c>
      <c r="H67" t="n">
        <v>10.463</v>
      </c>
      <c r="I67" t="inlineStr">
        <is>
          <t>USD</t>
        </is>
      </c>
      <c r="J67" t="n">
        <v>22.59</v>
      </c>
      <c r="K67" t="n">
        <v>20.65</v>
      </c>
      <c r="L67" t="n">
        <v>1.0939</v>
      </c>
      <c r="M67" t="n">
        <v>0</v>
      </c>
      <c r="N67" t="n">
        <v>-20.65</v>
      </c>
      <c r="O67" t="inlineStr">
        <is>
          <t>Fecha de compra pendiente de confirmar</t>
        </is>
      </c>
    </row>
    <row r="68">
      <c r="A68" t="inlineStr">
        <is>
          <t>PENDIENTE</t>
        </is>
      </c>
      <c r="B68" t="inlineStr">
        <is>
          <t>Trading212</t>
        </is>
      </c>
      <c r="C68" t="inlineStr">
        <is>
          <t>BUY</t>
        </is>
      </c>
      <c r="D68" t="inlineStr">
        <is>
          <t>Stock</t>
        </is>
      </c>
      <c r="E68" t="inlineStr">
        <is>
          <t>SHOP</t>
        </is>
      </c>
      <c r="F68" t="inlineStr"/>
      <c r="G68" t="n">
        <v>3.387701</v>
      </c>
      <c r="H68" t="n">
        <v>72.54179999999999</v>
      </c>
      <c r="I68" t="inlineStr">
        <is>
          <t>USD</t>
        </is>
      </c>
      <c r="J68" t="n">
        <v>245.75</v>
      </c>
      <c r="K68" t="n">
        <v>218.25</v>
      </c>
      <c r="L68" t="n">
        <v>1.126</v>
      </c>
      <c r="M68" t="n">
        <v>0</v>
      </c>
      <c r="N68" t="n">
        <v>-218.25</v>
      </c>
      <c r="O68" t="inlineStr">
        <is>
          <t>Fecha de compra pendiente de confirmar</t>
        </is>
      </c>
    </row>
    <row r="69">
      <c r="A69" t="inlineStr">
        <is>
          <t>PENDIENTE</t>
        </is>
      </c>
      <c r="B69" t="inlineStr">
        <is>
          <t>Trading212</t>
        </is>
      </c>
      <c r="C69" t="inlineStr">
        <is>
          <t>BUY</t>
        </is>
      </c>
      <c r="D69" t="inlineStr">
        <is>
          <t>Stock</t>
        </is>
      </c>
      <c r="E69" t="inlineStr">
        <is>
          <t>NU</t>
        </is>
      </c>
      <c r="F69" t="inlineStr"/>
      <c r="G69" t="n">
        <v>12.844</v>
      </c>
      <c r="H69" t="n">
        <v>10.4652</v>
      </c>
      <c r="I69" t="inlineStr">
        <is>
          <t>USD</t>
        </is>
      </c>
      <c r="J69" t="n">
        <v>134.42</v>
      </c>
      <c r="K69" t="n">
        <v>122.87</v>
      </c>
      <c r="L69" t="n">
        <v>1.094</v>
      </c>
      <c r="M69" t="n">
        <v>0</v>
      </c>
      <c r="N69" t="n">
        <v>-122.87</v>
      </c>
      <c r="O69" t="inlineStr">
        <is>
          <t>Fecha de compra pendiente de confirmar</t>
        </is>
      </c>
    </row>
    <row r="70">
      <c r="A70" t="inlineStr">
        <is>
          <t>PENDIENTE</t>
        </is>
      </c>
      <c r="B70" t="inlineStr">
        <is>
          <t>Trading212</t>
        </is>
      </c>
      <c r="C70" t="inlineStr">
        <is>
          <t>BUY</t>
        </is>
      </c>
      <c r="D70" t="inlineStr">
        <is>
          <t>Stock</t>
        </is>
      </c>
      <c r="E70" t="inlineStr">
        <is>
          <t>NU</t>
        </is>
      </c>
      <c r="F70" t="inlineStr"/>
      <c r="G70" t="n">
        <v>101.9</v>
      </c>
      <c r="H70" t="n">
        <v>10.4654</v>
      </c>
      <c r="I70" t="inlineStr">
        <is>
          <t>USD</t>
        </is>
      </c>
      <c r="J70" t="n">
        <v>1066.43</v>
      </c>
      <c r="K70" t="n">
        <v>974.8</v>
      </c>
      <c r="L70" t="n">
        <v>1.094</v>
      </c>
      <c r="M70" t="n">
        <v>0</v>
      </c>
      <c r="N70" t="n">
        <v>-974.8</v>
      </c>
      <c r="O70" t="inlineStr">
        <is>
          <t>Fecha de compra pendiente de confirmar</t>
        </is>
      </c>
    </row>
    <row r="71">
      <c r="A71" t="inlineStr">
        <is>
          <t>PENDIENTE</t>
        </is>
      </c>
      <c r="B71" t="inlineStr">
        <is>
          <t>Trading212</t>
        </is>
      </c>
      <c r="C71" t="inlineStr">
        <is>
          <t>BUY</t>
        </is>
      </c>
      <c r="D71" t="inlineStr">
        <is>
          <t>Stock</t>
        </is>
      </c>
      <c r="E71" t="inlineStr">
        <is>
          <t>BA</t>
        </is>
      </c>
      <c r="F71" t="inlineStr"/>
      <c r="G71" t="n">
        <v>3.298344</v>
      </c>
      <c r="H71" t="n">
        <v>202.4804</v>
      </c>
      <c r="I71" t="inlineStr">
        <is>
          <t>USD</t>
        </is>
      </c>
      <c r="J71" t="n">
        <v>667.85</v>
      </c>
      <c r="K71" t="n">
        <v>614.63</v>
      </c>
      <c r="L71" t="n">
        <v>1.0866</v>
      </c>
      <c r="M71" t="n">
        <v>0</v>
      </c>
      <c r="N71" t="n">
        <v>-614.63</v>
      </c>
      <c r="O71" t="inlineStr">
        <is>
          <t>Fecha de compra pendiente de confirmar</t>
        </is>
      </c>
    </row>
    <row r="72">
      <c r="A72" t="inlineStr">
        <is>
          <t>PENDIENTE</t>
        </is>
      </c>
      <c r="B72" t="inlineStr">
        <is>
          <t>Trading212</t>
        </is>
      </c>
      <c r="C72" t="inlineStr">
        <is>
          <t>BUY</t>
        </is>
      </c>
      <c r="D72" t="inlineStr">
        <is>
          <t>Stock</t>
        </is>
      </c>
      <c r="E72" t="inlineStr">
        <is>
          <t>MELI</t>
        </is>
      </c>
      <c r="F72" t="inlineStr"/>
      <c r="G72" t="n">
        <v>0.279474</v>
      </c>
      <c r="H72" t="n">
        <v>866.449</v>
      </c>
      <c r="I72" t="inlineStr">
        <is>
          <t>USD</t>
        </is>
      </c>
      <c r="J72" t="n">
        <v>242.15</v>
      </c>
      <c r="K72" t="n">
        <v>224.68</v>
      </c>
      <c r="L72" t="n">
        <v>1.0778</v>
      </c>
      <c r="M72" t="n">
        <v>0</v>
      </c>
      <c r="N72" t="n">
        <v>-224.68</v>
      </c>
      <c r="O72" t="inlineStr">
        <is>
          <t>Fecha de compra pendiente de confirmar</t>
        </is>
      </c>
    </row>
    <row r="73">
      <c r="A73" t="inlineStr">
        <is>
          <t>PENDIENTE</t>
        </is>
      </c>
      <c r="B73" t="inlineStr">
        <is>
          <t>Trading212</t>
        </is>
      </c>
      <c r="C73" t="inlineStr">
        <is>
          <t>BUY</t>
        </is>
      </c>
      <c r="D73" t="inlineStr">
        <is>
          <t>Stock</t>
        </is>
      </c>
      <c r="E73" t="inlineStr">
        <is>
          <t>META</t>
        </is>
      </c>
      <c r="F73" t="inlineStr"/>
      <c r="G73" t="n">
        <v>0.655674</v>
      </c>
      <c r="H73" t="n">
        <v>208.9911</v>
      </c>
      <c r="I73" t="inlineStr">
        <is>
          <t>USD</t>
        </is>
      </c>
      <c r="J73" t="n">
        <v>137.03</v>
      </c>
      <c r="K73" t="n">
        <v>124.82</v>
      </c>
      <c r="L73" t="n">
        <v>1.0978</v>
      </c>
      <c r="M73" t="n">
        <v>0</v>
      </c>
      <c r="N73" t="n">
        <v>-124.82</v>
      </c>
      <c r="O73" t="inlineStr">
        <is>
          <t>Fecha de compra pendiente de confirmar</t>
        </is>
      </c>
    </row>
    <row r="74">
      <c r="A74" t="inlineStr">
        <is>
          <t>PENDIENTE</t>
        </is>
      </c>
      <c r="B74" t="inlineStr">
        <is>
          <t>Trading212</t>
        </is>
      </c>
      <c r="C74" t="inlineStr">
        <is>
          <t>BUY</t>
        </is>
      </c>
      <c r="D74" t="inlineStr">
        <is>
          <t>Stock</t>
        </is>
      </c>
      <c r="E74" t="inlineStr">
        <is>
          <t>SHOP</t>
        </is>
      </c>
      <c r="F74" t="inlineStr"/>
      <c r="G74" t="n">
        <v>2.037</v>
      </c>
      <c r="H74" t="n">
        <v>72.54040000000001</v>
      </c>
      <c r="I74" t="inlineStr">
        <is>
          <t>USD</t>
        </is>
      </c>
      <c r="J74" t="n">
        <v>147.76</v>
      </c>
      <c r="K74" t="n">
        <v>131.24</v>
      </c>
      <c r="L74" t="n">
        <v>1.126</v>
      </c>
      <c r="M74" t="n">
        <v>0</v>
      </c>
      <c r="N74" t="n">
        <v>-131.24</v>
      </c>
      <c r="O74" t="inlineStr">
        <is>
          <t>Fecha de compra pendiente de confirmar</t>
        </is>
      </c>
    </row>
    <row r="75">
      <c r="A75" t="inlineStr">
        <is>
          <t>PENDIENTE</t>
        </is>
      </c>
      <c r="B75" t="inlineStr">
        <is>
          <t>Trading212</t>
        </is>
      </c>
      <c r="C75" t="inlineStr">
        <is>
          <t>BUY</t>
        </is>
      </c>
      <c r="D75" t="inlineStr">
        <is>
          <t>Stock</t>
        </is>
      </c>
      <c r="E75" t="inlineStr">
        <is>
          <t>TCEHY</t>
        </is>
      </c>
      <c r="F75" t="inlineStr"/>
      <c r="G75" t="n">
        <v>3.934227</v>
      </c>
      <c r="H75" t="n">
        <v>48.2102</v>
      </c>
      <c r="I75" t="inlineStr">
        <is>
          <t>USD</t>
        </is>
      </c>
      <c r="J75" t="n">
        <v>189.67</v>
      </c>
      <c r="K75" t="n">
        <v>174.75</v>
      </c>
      <c r="L75" t="n">
        <v>1.0854</v>
      </c>
      <c r="M75" t="n">
        <v>0</v>
      </c>
      <c r="N75" t="n">
        <v>-174.75</v>
      </c>
      <c r="O75" t="inlineStr">
        <is>
          <t>Fecha de compra pendiente de confirmar</t>
        </is>
      </c>
    </row>
    <row r="76">
      <c r="A76" t="inlineStr">
        <is>
          <t>PENDIENTE</t>
        </is>
      </c>
      <c r="B76" t="inlineStr">
        <is>
          <t>Trading212</t>
        </is>
      </c>
      <c r="C76" t="inlineStr">
        <is>
          <t>BUY</t>
        </is>
      </c>
      <c r="D76" t="inlineStr">
        <is>
          <t>Stock</t>
        </is>
      </c>
      <c r="E76" t="inlineStr">
        <is>
          <t>PLTR</t>
        </is>
      </c>
      <c r="F76" t="inlineStr"/>
      <c r="G76" t="n">
        <v>32.751651</v>
      </c>
      <c r="H76" t="n">
        <v>16.59</v>
      </c>
      <c r="I76" t="inlineStr">
        <is>
          <t>USD</t>
        </is>
      </c>
      <c r="J76" t="n">
        <v>543.35</v>
      </c>
      <c r="K76" t="n">
        <v>499.25</v>
      </c>
      <c r="L76" t="n">
        <v>1.0883</v>
      </c>
      <c r="M76" t="n">
        <v>0</v>
      </c>
      <c r="N76" t="n">
        <v>-499.25</v>
      </c>
      <c r="O76" t="inlineStr">
        <is>
          <t>Fecha de compra pendiente de confirmar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DASHBOARD DE INVERSIONES</t>
        </is>
      </c>
    </row>
    <row r="3">
      <c r="A3" s="3" t="inlineStr">
        <is>
          <t>MÉTRICAS PRINCIPALES</t>
        </is>
      </c>
    </row>
    <row r="4">
      <c r="A4" s="1" t="inlineStr">
        <is>
          <t>Métrica</t>
        </is>
      </c>
      <c r="B4" s="1" t="inlineStr">
        <is>
          <t>Valor</t>
        </is>
      </c>
      <c r="C4" s="1" t="inlineStr">
        <is>
          <t>Notas</t>
        </is>
      </c>
    </row>
    <row r="5">
      <c r="A5" t="inlineStr">
        <is>
          <t>Total Invertido</t>
        </is>
      </c>
      <c r="B5" s="4">
        <f>ABS(SUMIFS(Datos!N:N,Datos!C:C,"BUY",Datos!A:A,"&lt;&gt;PENDIENTE"))</f>
        <v/>
      </c>
      <c r="C5" s="5" t="inlineStr">
        <is>
          <t>Suma de todas las compras con fecha</t>
        </is>
      </c>
    </row>
    <row r="6">
      <c r="A6" t="inlineStr">
        <is>
          <t>Total Recuperado</t>
        </is>
      </c>
      <c r="B6" s="4">
        <f>SUMIFS(Datos!N:N,Datos!C:C,"SELL")</f>
        <v/>
      </c>
      <c r="C6" s="5" t="inlineStr">
        <is>
          <t>Suma de todas las ventas</t>
        </is>
      </c>
    </row>
    <row r="7">
      <c r="A7" t="inlineStr">
        <is>
          <t>Dividendos Recibidos</t>
        </is>
      </c>
      <c r="B7" s="4">
        <f>SUMIFS(Datos!N:N,Datos!C:C,"DIVIDEND")</f>
        <v/>
      </c>
      <c r="C7" s="5" t="inlineStr">
        <is>
          <t>Suma de dividendos</t>
        </is>
      </c>
    </row>
    <row r="8">
      <c r="A8" t="inlineStr">
        <is>
          <t>Resultado Bruto</t>
        </is>
      </c>
      <c r="B8" s="4">
        <f>B6+B7-B5</f>
        <v/>
      </c>
      <c r="C8" s="5" t="inlineStr">
        <is>
          <t>Recuperado + Dividendos - Invertido</t>
        </is>
      </c>
    </row>
    <row r="9">
      <c r="A9" t="inlineStr">
        <is>
          <t>Comisiones Pagadas</t>
        </is>
      </c>
      <c r="B9" s="4">
        <f>SUMIF(Datos!M:M,"&gt;0",Datos!M:M)</f>
        <v/>
      </c>
      <c r="C9" s="5" t="inlineStr">
        <is>
          <t>Total de comisiones</t>
        </is>
      </c>
    </row>
    <row r="10">
      <c r="A10" t="inlineStr">
        <is>
          <t>Resultado Neto</t>
        </is>
      </c>
      <c r="B10" s="4">
        <f>B8-B9</f>
        <v/>
      </c>
      <c r="C10" s="5" t="inlineStr">
        <is>
          <t>Resultado menos comisiones</t>
        </is>
      </c>
    </row>
    <row r="11">
      <c r="A11" t="inlineStr">
        <is>
          <t>Rentabilidad</t>
        </is>
      </c>
      <c r="B11" s="6">
        <f>B10/B5</f>
        <v/>
      </c>
      <c r="C11" s="5" t="inlineStr">
        <is>
          <t>Resultado / Inversión</t>
        </is>
      </c>
    </row>
    <row r="14">
      <c r="A14" s="3" t="inlineStr">
        <is>
          <t>RESUMEN POR BROKER</t>
        </is>
      </c>
    </row>
    <row r="15">
      <c r="A15" s="1" t="inlineStr">
        <is>
          <t>Broker</t>
        </is>
      </c>
      <c r="B15" s="1" t="inlineStr">
        <is>
          <t>Invertido</t>
        </is>
      </c>
      <c r="C15" s="1" t="inlineStr">
        <is>
          <t>Recuperado</t>
        </is>
      </c>
      <c r="D15" s="1" t="inlineStr">
        <is>
          <t>Resultado</t>
        </is>
      </c>
    </row>
    <row r="16">
      <c r="A16" t="inlineStr">
        <is>
          <t>Degiro</t>
        </is>
      </c>
      <c r="B16" s="4">
        <f>ABS(SUMIFS(Datos!N:N,Datos!B:B,"Degiro",Datos!C:C,"BUY",Datos!A:A,"&lt;&gt;PENDIENTE"))</f>
        <v/>
      </c>
      <c r="C16" s="4">
        <f>SUMIFS(Datos!N:N,Datos!B:B,"Degiro",Datos!C:C,"SELL")+SUMIFS(Datos!N:N,Datos!B:B,"Degiro",Datos!C:C,"DIVIDEND")</f>
        <v/>
      </c>
      <c r="D16" s="4">
        <f>C16-B16</f>
        <v/>
      </c>
    </row>
    <row r="17">
      <c r="A17" t="inlineStr">
        <is>
          <t>Trading212</t>
        </is>
      </c>
      <c r="B17" s="4">
        <f>ABS(SUMIFS(Datos!N:N,Datos!B:B,"Trading212",Datos!C:C,"BUY",Datos!A:A,"&lt;&gt;PENDIENTE"))</f>
        <v/>
      </c>
      <c r="C17" s="4">
        <f>SUMIFS(Datos!N:N,Datos!B:B,"Trading212",Datos!C:C,"SELL")+SUMIFS(Datos!N:N,Datos!B:B,"Trading212",Datos!C:C,"DIVIDEND")</f>
        <v/>
      </c>
      <c r="D17" s="4">
        <f>C17-B17</f>
        <v/>
      </c>
    </row>
    <row r="18">
      <c r="A18" t="inlineStr">
        <is>
          <t>Kraken</t>
        </is>
      </c>
      <c r="B18" s="4">
        <f>ABS(SUMIFS(Datos!N:N,Datos!B:B,"Kraken",Datos!C:C,"BUY",Datos!A:A,"&lt;&gt;PENDIENTE"))</f>
        <v/>
      </c>
      <c r="C18" s="4">
        <f>SUMIFS(Datos!N:N,Datos!B:B,"Kraken",Datos!C:C,"SELL")+SUMIFS(Datos!N:N,Datos!B:B,"Kraken",Datos!C:C,"DIVIDEND")</f>
        <v/>
      </c>
      <c r="D18" s="4">
        <f>C18-B18</f>
        <v/>
      </c>
    </row>
    <row r="21">
      <c r="A21" s="3" t="inlineStr">
        <is>
          <t>RESUMEN POR TIPO DE ACTIVO</t>
        </is>
      </c>
    </row>
    <row r="22">
      <c r="A22" s="1" t="inlineStr">
        <is>
          <t>Tipo</t>
        </is>
      </c>
      <c r="B22" s="1" t="inlineStr">
        <is>
          <t>Invertido</t>
        </is>
      </c>
      <c r="C22" s="1" t="inlineStr">
        <is>
          <t>Recuperado</t>
        </is>
      </c>
      <c r="D22" s="1" t="inlineStr">
        <is>
          <t>Resultado</t>
        </is>
      </c>
    </row>
    <row r="23">
      <c r="A23" t="inlineStr">
        <is>
          <t>Stock</t>
        </is>
      </c>
      <c r="B23" s="4">
        <f>ABS(SUMIFS(Datos!N:N,Datos!D:D,"Stock",Datos!C:C,"BUY",Datos!A:A,"&lt;&gt;PENDIENTE"))</f>
        <v/>
      </c>
      <c r="C23" s="4">
        <f>SUMIFS(Datos!N:N,Datos!D:D,"Stock",Datos!C:C,"SELL")+SUMIFS(Datos!N:N,Datos!D:D,"Stock",Datos!C:C,"DIVIDEND")</f>
        <v/>
      </c>
      <c r="D23" s="4">
        <f>C23-B23</f>
        <v/>
      </c>
    </row>
    <row r="24">
      <c r="A24" t="inlineStr">
        <is>
          <t>ETF</t>
        </is>
      </c>
      <c r="B24" s="4">
        <f>ABS(SUMIFS(Datos!N:N,Datos!D:D,"ETF",Datos!C:C,"BUY",Datos!A:A,"&lt;&gt;PENDIENTE"))</f>
        <v/>
      </c>
      <c r="C24" s="4">
        <f>SUMIFS(Datos!N:N,Datos!D:D,"ETF",Datos!C:C,"SELL")+SUMIFS(Datos!N:N,Datos!D:D,"ETF",Datos!C:C,"DIVIDEND")</f>
        <v/>
      </c>
      <c r="D24" s="4">
        <f>C24-B24</f>
        <v/>
      </c>
    </row>
    <row r="25">
      <c r="A25" t="inlineStr">
        <is>
          <t>Crypto</t>
        </is>
      </c>
      <c r="B25" s="4">
        <f>ABS(SUMIFS(Datos!N:N,Datos!D:D,"Crypto",Datos!C:C,"BUY",Datos!A:A,"&lt;&gt;PENDIENTE"))</f>
        <v/>
      </c>
      <c r="C25" s="4">
        <f>SUMIFS(Datos!N:N,Datos!D:D,"Crypto",Datos!C:C,"SELL")+SUMIFS(Datos!N:N,Datos!D:D,"Crypto",Datos!C:C,"DIVIDEND")</f>
        <v/>
      </c>
      <c r="D25" s="4">
        <f>C25-B25</f>
        <v/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POSICIONES ABIERTAS - CRYPTO (KRAKEN)</t>
        </is>
      </c>
    </row>
    <row r="2">
      <c r="A2" s="7" t="inlineStr">
        <is>
          <t>Actualiza los precios en la columna D manualmente o usa =GOOGLEFINANCE("BTCEUR")</t>
        </is>
      </c>
    </row>
    <row r="4">
      <c r="A4" s="1" t="inlineStr">
        <is>
          <t>Ticker</t>
        </is>
      </c>
      <c r="B4" s="1" t="inlineStr">
        <is>
          <t>Cantidad</t>
        </is>
      </c>
      <c r="C4" s="1" t="inlineStr">
        <is>
          <t>Coste Total (€)</t>
        </is>
      </c>
      <c r="D4" s="1" t="inlineStr">
        <is>
          <t>Precio Actual (€)</t>
        </is>
      </c>
      <c r="E4" s="1" t="inlineStr">
        <is>
          <t>Valor Actual (€)</t>
        </is>
      </c>
      <c r="F4" s="1" t="inlineStr">
        <is>
          <t>P&amp;L (€)</t>
        </is>
      </c>
      <c r="G4" s="1" t="inlineStr">
        <is>
          <t>P&amp;L (%)</t>
        </is>
      </c>
    </row>
    <row r="5">
      <c r="A5" t="inlineStr">
        <is>
          <t>BTC</t>
        </is>
      </c>
      <c r="B5" s="8">
        <f>SUMIFS(Datos!G:G,Datos!E:E,"BTC",Datos!C:C,"BUY")</f>
        <v/>
      </c>
      <c r="C5" s="4">
        <f>ABS(SUMIFS(Datos!N:N,Datos!E:E,"BTC",Datos!C:C,"BUY"))</f>
        <v/>
      </c>
      <c r="D5" s="9" t="n">
        <v>0</v>
      </c>
      <c r="E5" s="4">
        <f>B5*D5</f>
        <v/>
      </c>
      <c r="F5" s="4">
        <f>E5-C5</f>
        <v/>
      </c>
      <c r="G5" s="6">
        <f>IF(C5&gt;0,F5/C5,0)</f>
        <v/>
      </c>
    </row>
    <row r="6">
      <c r="A6" t="inlineStr">
        <is>
          <t>ETH</t>
        </is>
      </c>
      <c r="B6" s="8">
        <f>SUMIFS(Datos!G:G,Datos!E:E,"ETH",Datos!C:C,"BUY")</f>
        <v/>
      </c>
      <c r="C6" s="4">
        <f>ABS(SUMIFS(Datos!N:N,Datos!E:E,"ETH",Datos!C:C,"BUY"))</f>
        <v/>
      </c>
      <c r="D6" s="9" t="n">
        <v>0</v>
      </c>
      <c r="E6" s="4">
        <f>B6*D6</f>
        <v/>
      </c>
      <c r="F6" s="4">
        <f>E6-C6</f>
        <v/>
      </c>
      <c r="G6" s="6">
        <f>IF(C6&gt;0,F6/C6,0)</f>
        <v/>
      </c>
    </row>
    <row r="7">
      <c r="A7" t="inlineStr">
        <is>
          <t>SOL</t>
        </is>
      </c>
      <c r="B7" s="8">
        <f>SUMIFS(Datos!G:G,Datos!E:E,"SOL",Datos!C:C,"BUY")</f>
        <v/>
      </c>
      <c r="C7" s="4">
        <f>ABS(SUMIFS(Datos!N:N,Datos!E:E,"SOL",Datos!C:C,"BUY"))</f>
        <v/>
      </c>
      <c r="D7" s="9" t="n">
        <v>0</v>
      </c>
      <c r="E7" s="4">
        <f>B7*D7</f>
        <v/>
      </c>
      <c r="F7" s="4">
        <f>E7-C7</f>
        <v/>
      </c>
      <c r="G7" s="6">
        <f>IF(C7&gt;0,F7/C7,0)</f>
        <v/>
      </c>
    </row>
    <row r="8">
      <c r="A8" s="10" t="inlineStr">
        <is>
          <t>TOTAL</t>
        </is>
      </c>
      <c r="C8" s="4">
        <f>SUM(C5:C7)</f>
        <v/>
      </c>
      <c r="E8" s="4">
        <f>SUM(E5:E7)</f>
        <v/>
      </c>
      <c r="F8" s="4">
        <f>SUM(F5:F7)</f>
        <v/>
      </c>
      <c r="G8" s="6">
        <f>IF(C8&gt;0,F8/C8,0)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2" t="inlineStr">
        <is>
          <t>ANÁLISIS DE OPERACIONES CERRADAS</t>
        </is>
      </c>
    </row>
    <row r="3">
      <c r="A3" s="11" t="inlineStr">
        <is>
          <t>Top 5 Mejores Operaciones (ordenar manualmente por P&amp;L en hoja Datos)</t>
        </is>
      </c>
    </row>
    <row r="4">
      <c r="A4" s="1" t="inlineStr">
        <is>
          <t>Ticker</t>
        </is>
      </c>
      <c r="B4" s="1" t="inlineStr">
        <is>
          <t>Fecha Compra</t>
        </is>
      </c>
      <c r="C4" s="1" t="inlineStr">
        <is>
          <t>Fecha Venta</t>
        </is>
      </c>
      <c r="D4" s="1" t="inlineStr">
        <is>
          <t>Invertido (€)</t>
        </is>
      </c>
      <c r="E4" s="1" t="inlineStr">
        <is>
          <t>Recuperado (€)</t>
        </is>
      </c>
      <c r="F4" s="1" t="inlineStr">
        <is>
          <t>P&amp;L (€)</t>
        </is>
      </c>
    </row>
    <row r="5">
      <c r="A5" s="12" t="inlineStr">
        <is>
          <t>(Completa manualmente o filtra desde Datos)</t>
        </is>
      </c>
    </row>
    <row r="12">
      <c r="A12" s="3" t="inlineStr">
        <is>
          <t>RESUMEN RÁPIDO</t>
        </is>
      </c>
    </row>
    <row r="13">
      <c r="A13" t="inlineStr">
        <is>
          <t>Operaciones de compra (con fecha)</t>
        </is>
      </c>
      <c r="B13">
        <f>COUNTIFS(Datos!C:C,"BUY",Datos!A:A,"&lt;&gt;PENDIENTE")</f>
        <v/>
      </c>
    </row>
    <row r="14">
      <c r="A14" t="inlineStr">
        <is>
          <t>Operaciones de venta</t>
        </is>
      </c>
      <c r="B14">
        <f>COUNTIF(Datos!C:C,"SELL")</f>
        <v/>
      </c>
    </row>
    <row r="15">
      <c r="A15" t="inlineStr">
        <is>
          <t>Dividendos recibidos</t>
        </is>
      </c>
      <c r="B15">
        <f>COUNTIF(Datos!C:C,"DIVIDEND")</f>
        <v/>
      </c>
    </row>
    <row r="16">
      <c r="A16" t="inlineStr">
        <is>
          <t>Operaciones pendientes de fecha</t>
        </is>
      </c>
      <c r="B16">
        <f>COUNTIF(Datos!A:A,"PENDIENTE")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CÁLCULO DE TIR (XIRR)</t>
        </is>
      </c>
    </row>
    <row r="3">
      <c r="A3" s="5" t="inlineStr">
        <is>
          <t>Para calcular la TIR money-weighted necesitas:</t>
        </is>
      </c>
    </row>
    <row r="4">
      <c r="A4" s="5" t="inlineStr">
        <is>
          <t>1. Copiar fechas y flujos de la hoja Datos (solo operaciones con fecha válida)</t>
        </is>
      </c>
    </row>
    <row r="5">
      <c r="A5" s="5" t="inlineStr">
        <is>
          <t>2. Añadir una última fila con fecha=HOY y flujo=valor actual de crypto</t>
        </is>
      </c>
    </row>
    <row r="6">
      <c r="A6" s="5" t="inlineStr">
        <is>
          <t>3. Usar la fórmula =XIRR(flujos, fechas)</t>
        </is>
      </c>
    </row>
    <row r="7">
      <c r="A7" s="5" t="inlineStr"/>
    </row>
    <row r="8">
      <c r="A8" s="5" t="inlineStr">
        <is>
          <t>Ejemplo simplificado abajo:</t>
        </is>
      </c>
    </row>
    <row r="10">
      <c r="A10" s="1" t="inlineStr">
        <is>
          <t>Fecha</t>
        </is>
      </c>
      <c r="B10" s="1" t="inlineStr">
        <is>
          <t>Flujo (€)</t>
        </is>
      </c>
    </row>
    <row r="11">
      <c r="A11" t="inlineStr">
        <is>
          <t>2020-04-20</t>
        </is>
      </c>
      <c r="B11" t="n">
        <v>-1000</v>
      </c>
    </row>
    <row r="12">
      <c r="A12" t="inlineStr">
        <is>
          <t>2021-06-15</t>
        </is>
      </c>
      <c r="B12" t="n">
        <v>-500</v>
      </c>
    </row>
    <row r="13">
      <c r="A13" t="inlineStr">
        <is>
          <t>2024-09-26</t>
        </is>
      </c>
      <c r="B13" t="n">
        <v>2000</v>
      </c>
    </row>
    <row r="14">
      <c r="A14">
        <f>TODAY()</f>
        <v/>
      </c>
      <c r="B14" t="n">
        <v>500</v>
      </c>
    </row>
    <row r="16">
      <c r="A16" s="10" t="inlineStr">
        <is>
          <t>TIR Anual:</t>
        </is>
      </c>
      <c r="B16" s="6">
        <f>XIRR(B11:B14,A11:A14)</f>
        <v/>
      </c>
    </row>
    <row r="18">
      <c r="A18" s="13" t="inlineStr">
        <is>
          <t>NOTA: Este es un ejemplo. Debes reemplazar con tus datos reales.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2026-01-07T19:35:53Z</dcterms:created>
  <dcterms:modified xsi:type="dcterms:W3CDTF">2026-01-07T19:35:53Z</dcterms:modified>
</cp:coreProperties>
</file>