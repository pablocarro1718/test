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es" sheetId="1" state="visible" r:id="rId1"/>
    <sheet name="Dashboard" sheetId="2" state="visible" r:id="rId2"/>
    <sheet name="Flujos" sheetId="3" state="visible" r:id="rId3"/>
    <sheet name="Flujos_Crypto" sheetId="4" state="visible" r:id="rId4"/>
    <sheet name="Flujos_Stock" sheetId="5" state="visible" r:id="rId5"/>
    <sheet name="Flujos_ETF" sheetId="6" state="visible" r:id="rId6"/>
    <sheet name="Calend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E75B6"/>
      <sz val="16"/>
    </font>
    <font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Broker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Coste (€)</t>
        </is>
      </c>
      <c r="F1" s="1" t="inlineStr">
        <is>
          <t>Precio Medio (€)</t>
        </is>
      </c>
      <c r="G1" s="1" t="inlineStr">
        <is>
          <t>Precio Actual (€)</t>
        </is>
      </c>
      <c r="H1" s="1" t="inlineStr">
        <is>
          <t>Valor Actual (€)</t>
        </is>
      </c>
      <c r="I1" s="1" t="inlineStr">
        <is>
          <t>P&amp;L (€)</t>
        </is>
      </c>
      <c r="J1" s="1" t="inlineStr">
        <is>
          <t>P&amp;L (%)</t>
        </is>
      </c>
    </row>
    <row r="2">
      <c r="A2" t="inlineStr">
        <is>
          <t>BTC</t>
        </is>
      </c>
      <c r="B2" t="inlineStr">
        <is>
          <t>Kraken</t>
        </is>
      </c>
      <c r="C2" t="inlineStr">
        <is>
          <t>Crypto</t>
        </is>
      </c>
      <c r="D2" t="n">
        <v>0.05678</v>
      </c>
      <c r="E2" s="2" t="n">
        <v>1048.29</v>
      </c>
      <c r="F2" s="2" t="n">
        <v>18462.31</v>
      </c>
      <c r="G2" s="2">
        <f>IFERROR(GOOGLEFINANCE("BTCUSD","price")*GOOGLEFINANCE("CURRENCY:USDEUR"),0)</f>
        <v/>
      </c>
      <c r="H2" s="2">
        <f>D2*G2</f>
        <v/>
      </c>
      <c r="I2" s="2">
        <f>H2-E2</f>
        <v/>
      </c>
      <c r="J2" s="3">
        <f>IF(E2&gt;0,I2/E2,0)</f>
        <v/>
      </c>
    </row>
    <row r="3">
      <c r="A3" t="inlineStr">
        <is>
          <t>ETH</t>
        </is>
      </c>
      <c r="B3" t="inlineStr">
        <is>
          <t>Kraken</t>
        </is>
      </c>
      <c r="C3" t="inlineStr">
        <is>
          <t>Crypto</t>
        </is>
      </c>
      <c r="D3" t="n">
        <v>0.34793</v>
      </c>
      <c r="E3" s="2" t="n">
        <v>700.75</v>
      </c>
      <c r="F3" s="2" t="n">
        <v>2014.05</v>
      </c>
      <c r="G3" s="2">
        <f>IFERROR(GOOGLEFINANCE("ETHUSD","price")*GOOGLEFINANCE("CURRENCY:USDEUR"),0)</f>
        <v/>
      </c>
      <c r="H3" s="2">
        <f>D3*G3</f>
        <v/>
      </c>
      <c r="I3" s="2">
        <f>H3-E3</f>
        <v/>
      </c>
      <c r="J3" s="3">
        <f>IF(E3&gt;0,I3/E3,0)</f>
        <v/>
      </c>
    </row>
    <row r="4">
      <c r="A4" t="inlineStr">
        <is>
          <t>SOL</t>
        </is>
      </c>
      <c r="B4" t="inlineStr">
        <is>
          <t>Kraken</t>
        </is>
      </c>
      <c r="C4" t="inlineStr">
        <is>
          <t>Crypto</t>
        </is>
      </c>
      <c r="D4" t="n">
        <v>2.13768</v>
      </c>
      <c r="E4" s="2" t="n">
        <v>298.95</v>
      </c>
      <c r="F4" s="2" t="n">
        <v>139.85</v>
      </c>
      <c r="G4" s="2">
        <f>IFERROR(GOOGLEFINANCE("SOLUSD","price")*GOOGLEFINANCE("CURRENCY:USDEUR"),0)</f>
        <v/>
      </c>
      <c r="H4" s="2">
        <f>D4*G4</f>
        <v/>
      </c>
      <c r="I4" s="2">
        <f>H4-E4</f>
        <v/>
      </c>
      <c r="J4" s="3">
        <f>IF(E4&gt;0,I4/E4,0)</f>
        <v/>
      </c>
    </row>
    <row r="5">
      <c r="A5" t="inlineStr">
        <is>
          <t>NU</t>
        </is>
      </c>
      <c r="B5" t="inlineStr">
        <is>
          <t>Fintual</t>
        </is>
      </c>
      <c r="C5" t="inlineStr">
        <is>
          <t>Stock</t>
        </is>
      </c>
      <c r="D5" t="n">
        <v>91.449629</v>
      </c>
      <c r="E5" s="2" t="n">
        <v>1009.61</v>
      </c>
      <c r="F5" s="2" t="n">
        <v>11.04</v>
      </c>
      <c r="G5" s="2">
        <f>IFERROR(GOOGLEFINANCE("NU","price")*GOOGLEFINANCE("CURRENCY:USDEUR"),0)</f>
        <v/>
      </c>
      <c r="H5" s="2">
        <f>D5*G5</f>
        <v/>
      </c>
      <c r="I5" s="2">
        <f>H5-E5</f>
        <v/>
      </c>
      <c r="J5" s="3">
        <f>IF(E5&gt;0,I5/E5,0)</f>
        <v/>
      </c>
    </row>
    <row r="6">
      <c r="A6" t="inlineStr">
        <is>
          <t>AMZN</t>
        </is>
      </c>
      <c r="B6" t="inlineStr">
        <is>
          <t>Fintual</t>
        </is>
      </c>
      <c r="C6" t="inlineStr">
        <is>
          <t>Stock</t>
        </is>
      </c>
      <c r="D6" t="n">
        <v>5.998302</v>
      </c>
      <c r="E6" s="2" t="n">
        <v>1086.47</v>
      </c>
      <c r="F6" s="2" t="n">
        <v>181.13</v>
      </c>
      <c r="G6" s="2">
        <f>IFERROR(GOOGLEFINANCE("AMZN","price")*GOOGLEFINANCE("CURRENCY:USDEUR"),0)</f>
        <v/>
      </c>
      <c r="H6" s="2">
        <f>D6*G6</f>
        <v/>
      </c>
      <c r="I6" s="2">
        <f>H6-E6</f>
        <v/>
      </c>
      <c r="J6" s="3">
        <f>IF(E6&gt;0,I6/E6,0)</f>
        <v/>
      </c>
    </row>
    <row r="7">
      <c r="A7" t="inlineStr">
        <is>
          <t>SPY</t>
        </is>
      </c>
      <c r="B7" t="inlineStr">
        <is>
          <t>Fintual</t>
        </is>
      </c>
      <c r="C7" t="inlineStr">
        <is>
          <t>ETF</t>
        </is>
      </c>
      <c r="D7" t="n">
        <v>0.461054</v>
      </c>
      <c r="E7" s="2" t="n">
        <v>240.38</v>
      </c>
      <c r="F7" s="2" t="n">
        <v>521.37</v>
      </c>
      <c r="G7" s="2">
        <f>IFERROR(GOOGLEFINANCE("SPY","price")*GOOGLEFINANCE("CURRENCY:USDEUR"),0)</f>
        <v/>
      </c>
      <c r="H7" s="2">
        <f>D7*G7</f>
        <v/>
      </c>
      <c r="I7" s="2">
        <f>H7-E7</f>
        <v/>
      </c>
      <c r="J7" s="3">
        <f>IF(E7&gt;0,I7/E7,0)</f>
        <v/>
      </c>
    </row>
    <row r="8">
      <c r="A8" t="inlineStr">
        <is>
          <t>IEV</t>
        </is>
      </c>
      <c r="B8" t="inlineStr">
        <is>
          <t>Fintual</t>
        </is>
      </c>
      <c r="C8" t="inlineStr">
        <is>
          <t>ETF</t>
        </is>
      </c>
      <c r="D8" t="n">
        <v>20.544768</v>
      </c>
      <c r="E8" s="2" t="n">
        <v>1255.4</v>
      </c>
      <c r="F8" s="2" t="n">
        <v>61.11</v>
      </c>
      <c r="G8" s="2">
        <f>IFERROR(GOOGLEFINANCE("IEV","price")*GOOGLEFINANCE("CURRENCY:USDEUR"),0)</f>
        <v/>
      </c>
      <c r="H8" s="2">
        <f>D8*G8</f>
        <v/>
      </c>
      <c r="I8" s="2">
        <f>H8-E8</f>
        <v/>
      </c>
      <c r="J8" s="3">
        <f>IF(E8&gt;0,I8/E8,0)</f>
        <v/>
      </c>
    </row>
    <row r="9">
      <c r="A9" t="inlineStr">
        <is>
          <t>ARGT</t>
        </is>
      </c>
      <c r="B9" t="inlineStr">
        <is>
          <t>Fintual</t>
        </is>
      </c>
      <c r="C9" t="inlineStr">
        <is>
          <t>ETF</t>
        </is>
      </c>
      <c r="D9" t="n">
        <v>15.990136</v>
      </c>
      <c r="E9" s="2" t="n">
        <v>1356.09</v>
      </c>
      <c r="F9" s="2" t="n">
        <v>84.81</v>
      </c>
      <c r="G9" s="2">
        <f>IFERROR(GOOGLEFINANCE("ARGT","price")*GOOGLEFINANCE("CURRENCY:USDEUR"),0)</f>
        <v/>
      </c>
      <c r="H9" s="2">
        <f>D9*G9</f>
        <v/>
      </c>
      <c r="I9" s="2">
        <f>H9-E9</f>
        <v/>
      </c>
      <c r="J9" s="3">
        <f>IF(E9&gt;0,I9/E9,0)</f>
        <v/>
      </c>
    </row>
    <row r="10">
      <c r="A10" t="inlineStr">
        <is>
          <t>AAPL</t>
        </is>
      </c>
      <c r="B10" t="inlineStr">
        <is>
          <t>Fintual</t>
        </is>
      </c>
      <c r="C10" t="inlineStr">
        <is>
          <t>Stock</t>
        </is>
      </c>
      <c r="D10" t="n">
        <v>4.564051</v>
      </c>
      <c r="E10" s="2" t="n">
        <v>1193.89</v>
      </c>
      <c r="F10" s="2" t="n">
        <v>261.59</v>
      </c>
      <c r="G10" s="2">
        <f>IFERROR(GOOGLEFINANCE("AAPL","price")*GOOGLEFINANCE("CURRENCY:USDEUR"),0)</f>
        <v/>
      </c>
      <c r="H10" s="2">
        <f>D10*G10</f>
        <v/>
      </c>
      <c r="I10" s="2">
        <f>H10-E10</f>
        <v/>
      </c>
      <c r="J10" s="3">
        <f>IF(E10&gt;0,I10/E10,0)</f>
        <v/>
      </c>
    </row>
    <row r="11">
      <c r="A11" s="4" t="inlineStr">
        <is>
          <t>TOTAL</t>
        </is>
      </c>
      <c r="E11" s="2">
        <f>SUM(E2:E10)</f>
        <v/>
      </c>
      <c r="H11" s="2">
        <f>SUM(H2:H10)</f>
        <v/>
      </c>
      <c r="I11" s="2">
        <f>SUM(I2:I10)</f>
        <v/>
      </c>
      <c r="J11" s="3">
        <f>IF(E11&gt;0,I11/E11,0)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PORTFOLIO - POSICIONES ABIERTAS</t>
        </is>
      </c>
    </row>
    <row r="2">
      <c r="A2" t="inlineStr">
        <is>
          <t>Última actualización:</t>
        </is>
      </c>
      <c r="B2">
        <f>NOW()</f>
        <v/>
      </c>
    </row>
    <row r="4">
      <c r="A4" s="6" t="inlineStr">
        <is>
          <t>MÉTRICAS PRINCIPALES</t>
        </is>
      </c>
    </row>
    <row r="5">
      <c r="A5" s="7" t="inlineStr">
        <is>
          <t>Métrica</t>
        </is>
      </c>
      <c r="B5" s="7" t="inlineStr">
        <is>
          <t>Valor</t>
        </is>
      </c>
    </row>
    <row r="6">
      <c r="A6" t="inlineStr">
        <is>
          <t>Coste Total</t>
        </is>
      </c>
      <c r="B6" s="2">
        <f>Posiciones!E11</f>
        <v/>
      </c>
    </row>
    <row r="7">
      <c r="A7" t="inlineStr">
        <is>
          <t>Valor Actual</t>
        </is>
      </c>
      <c r="B7" s="2">
        <f>Posiciones!H11</f>
        <v/>
      </c>
    </row>
    <row r="8">
      <c r="A8" t="inlineStr">
        <is>
          <t>P&amp;L</t>
        </is>
      </c>
      <c r="B8" s="2">
        <f>Posiciones!I11</f>
        <v/>
      </c>
    </row>
    <row r="9">
      <c r="A9" t="inlineStr">
        <is>
          <t>Rentabilidad</t>
        </is>
      </c>
      <c r="B9" s="3">
        <f>Posiciones!J11</f>
        <v/>
      </c>
    </row>
    <row r="10">
      <c r="A10" t="inlineStr">
        <is>
          <t>TIR Anualizada</t>
        </is>
      </c>
      <c r="B10" s="3">
        <f>IFERROR(XIRR(Flujos!B:B,Flujos!A:A),0)</f>
        <v/>
      </c>
    </row>
    <row r="13">
      <c r="A13" s="6" t="inlineStr">
        <is>
          <t>COMPOSICIÓN POR TIPO DE ACTIVO</t>
        </is>
      </c>
    </row>
    <row r="14">
      <c r="A14" s="7" t="inlineStr">
        <is>
          <t>Tipo</t>
        </is>
      </c>
      <c r="B14" s="7" t="inlineStr">
        <is>
          <t>Coste (€)</t>
        </is>
      </c>
      <c r="C14" s="7" t="inlineStr">
        <is>
          <t>Valor Actual (€)</t>
        </is>
      </c>
      <c r="D14" s="7" t="inlineStr">
        <is>
          <t>P&amp;L (€)</t>
        </is>
      </c>
      <c r="E14" s="7" t="inlineStr">
        <is>
          <t>Retorno Simple</t>
        </is>
      </c>
      <c r="F14" s="7" t="inlineStr">
        <is>
          <t>TIR</t>
        </is>
      </c>
    </row>
    <row r="15">
      <c r="A15" t="inlineStr">
        <is>
          <t>Crypto</t>
        </is>
      </c>
      <c r="B15" s="2">
        <f>SUMIF(Posiciones!C:C,"Crypto",Posiciones!E:E)</f>
        <v/>
      </c>
      <c r="C15" s="2">
        <f>SUMIF(Posiciones!C:C,"Crypto",Posiciones!H:H)</f>
        <v/>
      </c>
      <c r="D15" s="2">
        <f>C15-B15</f>
        <v/>
      </c>
      <c r="E15" s="3">
        <f>IF(B15&gt;0,D15/B15,0)</f>
        <v/>
      </c>
      <c r="F15">
        <f>IFERROR(XIRR(Flujos_Crypto!B:B,Flujos_Crypto!A:A),"-")</f>
        <v/>
      </c>
    </row>
    <row r="16">
      <c r="A16" t="inlineStr">
        <is>
          <t>Stock</t>
        </is>
      </c>
      <c r="B16" s="2">
        <f>SUMIF(Posiciones!C:C,"Stock",Posiciones!E:E)</f>
        <v/>
      </c>
      <c r="C16" s="2">
        <f>SUMIF(Posiciones!C:C,"Stock",Posiciones!H:H)</f>
        <v/>
      </c>
      <c r="D16" s="2">
        <f>C16-B16</f>
        <v/>
      </c>
      <c r="E16" s="3">
        <f>IF(B16&gt;0,D16/B16,0)</f>
        <v/>
      </c>
      <c r="F16">
        <f>IFERROR(XIRR(Flujos_Stock!B:B,Flujos_Stock!A:A),"-")</f>
        <v/>
      </c>
    </row>
    <row r="17">
      <c r="A17" t="inlineStr">
        <is>
          <t>ETF</t>
        </is>
      </c>
      <c r="B17" s="2">
        <f>SUMIF(Posiciones!C:C,"ETF",Posiciones!E:E)</f>
        <v/>
      </c>
      <c r="C17" s="2">
        <f>SUMIF(Posiciones!C:C,"ETF",Posiciones!H:H)</f>
        <v/>
      </c>
      <c r="D17" s="2">
        <f>C17-B17</f>
        <v/>
      </c>
      <c r="E17" s="3">
        <f>IF(B17&gt;0,D17/B17,0)</f>
        <v/>
      </c>
      <c r="F17">
        <f>IFERROR(XIRR(Flujos_ETF!B:B,Flujos_ETF!A:A),"-")</f>
        <v/>
      </c>
    </row>
    <row r="18">
      <c r="A18" s="4" t="inlineStr">
        <is>
          <t>TOTAL</t>
        </is>
      </c>
      <c r="B18" s="2">
        <f>SUM(B15:B17)</f>
        <v/>
      </c>
      <c r="C18" s="2">
        <f>SUM(C15:C17)</f>
        <v/>
      </c>
      <c r="D18" s="2">
        <f>SUM(D15:D17)</f>
        <v/>
      </c>
      <c r="E18" s="3">
        <f>IF(B18&gt;0,D18/B18,0)</f>
        <v/>
      </c>
    </row>
    <row r="21">
      <c r="A21" s="6" t="inlineStr">
        <is>
          <t>COMPOSICIÓN POR BROKER</t>
        </is>
      </c>
    </row>
    <row r="22">
      <c r="A22" s="7" t="inlineStr">
        <is>
          <t>Broker</t>
        </is>
      </c>
      <c r="B22" s="7" t="inlineStr">
        <is>
          <t>Coste (€)</t>
        </is>
      </c>
      <c r="C22" s="7" t="inlineStr">
        <is>
          <t>Valor Actual (€)</t>
        </is>
      </c>
      <c r="D22" s="7" t="inlineStr">
        <is>
          <t>P&amp;L (€)</t>
        </is>
      </c>
      <c r="E22" s="7" t="inlineStr">
        <is>
          <t>Retorno Simple</t>
        </is>
      </c>
    </row>
    <row r="23">
      <c r="A23" t="inlineStr">
        <is>
          <t>Kraken</t>
        </is>
      </c>
      <c r="B23" s="2">
        <f>SUMIF(Posiciones!B:B,"Kraken",Posiciones!E:E)</f>
        <v/>
      </c>
      <c r="C23" s="2">
        <f>SUMIF(Posiciones!B:B,"Kraken",Posiciones!H:H)</f>
        <v/>
      </c>
      <c r="D23" s="2">
        <f>C23-B23</f>
        <v/>
      </c>
      <c r="E23" s="3">
        <f>IF(B23&gt;0,D23/B23,0)</f>
        <v/>
      </c>
    </row>
    <row r="24">
      <c r="A24" t="inlineStr">
        <is>
          <t>Fintual</t>
        </is>
      </c>
      <c r="B24" s="2">
        <f>SUMIF(Posiciones!B:B,"Fintual",Posiciones!E:E)</f>
        <v/>
      </c>
      <c r="C24" s="2">
        <f>SUMIF(Posiciones!B:B,"Fintual",Posiciones!H:H)</f>
        <v/>
      </c>
      <c r="D24" s="2">
        <f>C24-B24</f>
        <v/>
      </c>
      <c r="E24" s="3">
        <f>IF(B24&gt;0,D24/B24,0)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</cols>
  <sheetData>
    <row r="1">
      <c r="A1" s="7" t="inlineStr">
        <is>
          <t>Fecha</t>
        </is>
      </c>
      <c r="B1" s="7" t="inlineStr">
        <is>
          <t>Flujo (€)</t>
        </is>
      </c>
      <c r="C1" s="7" t="inlineStr">
        <is>
          <t>Concepto</t>
        </is>
      </c>
      <c r="D1" s="7" t="inlineStr">
        <is>
          <t>Tipo</t>
        </is>
      </c>
    </row>
    <row r="2">
      <c r="A2" t="inlineStr">
        <is>
          <t>2020-05-19</t>
        </is>
      </c>
      <c r="B2" s="2" t="n">
        <v>-248</v>
      </c>
      <c r="C2" t="inlineStr">
        <is>
          <t>Compra BTC</t>
        </is>
      </c>
      <c r="D2" t="inlineStr">
        <is>
          <t>Crypto</t>
        </is>
      </c>
    </row>
    <row r="3">
      <c r="A3" t="inlineStr">
        <is>
          <t>2021-05-19</t>
        </is>
      </c>
      <c r="B3" s="2" t="n">
        <v>-250</v>
      </c>
      <c r="C3" t="inlineStr">
        <is>
          <t>Compra BTC</t>
        </is>
      </c>
      <c r="D3" t="inlineStr">
        <is>
          <t>Crypto</t>
        </is>
      </c>
    </row>
    <row r="4">
      <c r="A4" t="inlineStr">
        <is>
          <t>2021-05-19</t>
        </is>
      </c>
      <c r="B4" s="2" t="n">
        <v>-250</v>
      </c>
      <c r="C4" t="inlineStr">
        <is>
          <t>Compra ETH</t>
        </is>
      </c>
      <c r="D4" t="inlineStr">
        <is>
          <t>Crypto</t>
        </is>
      </c>
    </row>
    <row r="5">
      <c r="A5" t="inlineStr">
        <is>
          <t>2021-12-03</t>
        </is>
      </c>
      <c r="B5" s="2" t="n">
        <v>-200</v>
      </c>
      <c r="C5" t="inlineStr">
        <is>
          <t>Compra SOL</t>
        </is>
      </c>
      <c r="D5" t="inlineStr">
        <is>
          <t>Crypto</t>
        </is>
      </c>
    </row>
    <row r="6">
      <c r="A6" t="inlineStr">
        <is>
          <t>2022-01-25</t>
        </is>
      </c>
      <c r="B6" s="2" t="n">
        <v>-196.46</v>
      </c>
      <c r="C6" t="inlineStr">
        <is>
          <t>Compra BTC</t>
        </is>
      </c>
      <c r="D6" t="inlineStr">
        <is>
          <t>Crypto</t>
        </is>
      </c>
    </row>
    <row r="7">
      <c r="A7" t="inlineStr">
        <is>
          <t>2022-01-25</t>
        </is>
      </c>
      <c r="B7" s="2" t="n">
        <v>-3.83</v>
      </c>
      <c r="C7" t="inlineStr">
        <is>
          <t>Compra BTC</t>
        </is>
      </c>
      <c r="D7" t="inlineStr">
        <is>
          <t>Crypto</t>
        </is>
      </c>
    </row>
    <row r="8">
      <c r="A8" t="inlineStr">
        <is>
          <t>2022-01-25</t>
        </is>
      </c>
      <c r="B8" s="2" t="n">
        <v>-300.75</v>
      </c>
      <c r="C8" t="inlineStr">
        <is>
          <t>Compra ETH</t>
        </is>
      </c>
      <c r="D8" t="inlineStr">
        <is>
          <t>Crypto</t>
        </is>
      </c>
    </row>
    <row r="9">
      <c r="A9" t="inlineStr">
        <is>
          <t>2022-01-25</t>
        </is>
      </c>
      <c r="B9" s="2" t="n">
        <v>-98.95</v>
      </c>
      <c r="C9" t="inlineStr">
        <is>
          <t>Compra SOL</t>
        </is>
      </c>
      <c r="D9" t="inlineStr">
        <is>
          <t>Crypto</t>
        </is>
      </c>
    </row>
    <row r="10">
      <c r="A10" t="inlineStr">
        <is>
          <t>2023-02-02</t>
        </is>
      </c>
      <c r="B10" s="2" t="n">
        <v>-150</v>
      </c>
      <c r="C10" t="inlineStr">
        <is>
          <t>Compra BTC</t>
        </is>
      </c>
      <c r="D10" t="inlineStr">
        <is>
          <t>Crypto</t>
        </is>
      </c>
    </row>
    <row r="11">
      <c r="A11" t="inlineStr">
        <is>
          <t>2023-02-02</t>
        </is>
      </c>
      <c r="B11" s="2" t="n">
        <v>-150</v>
      </c>
      <c r="C11" t="inlineStr">
        <is>
          <t>Compra ETH</t>
        </is>
      </c>
      <c r="D11" t="inlineStr">
        <is>
          <t>Crypto</t>
        </is>
      </c>
    </row>
    <row r="12">
      <c r="A12" t="inlineStr">
        <is>
          <t>2023-04-23</t>
        </is>
      </c>
      <c r="B12" s="2" t="n">
        <v>-200</v>
      </c>
      <c r="C12" t="inlineStr">
        <is>
          <t>Compra BTC</t>
        </is>
      </c>
      <c r="D12" t="inlineStr">
        <is>
          <t>Crypto</t>
        </is>
      </c>
    </row>
    <row r="13">
      <c r="A13" t="inlineStr">
        <is>
          <t>2025-12-18</t>
        </is>
      </c>
      <c r="B13" s="2" t="n">
        <v>-576.92</v>
      </c>
      <c r="C13" t="inlineStr">
        <is>
          <t>Compra NU</t>
        </is>
      </c>
      <c r="D13" t="inlineStr">
        <is>
          <t>Stock</t>
        </is>
      </c>
    </row>
    <row r="14">
      <c r="A14" t="inlineStr">
        <is>
          <t>2025-12-18</t>
        </is>
      </c>
      <c r="B14" s="2" t="n">
        <v>-192.31</v>
      </c>
      <c r="C14" t="inlineStr">
        <is>
          <t>Compra NU</t>
        </is>
      </c>
      <c r="D14" t="inlineStr">
        <is>
          <t>Stock</t>
        </is>
      </c>
    </row>
    <row r="15">
      <c r="A15" t="inlineStr">
        <is>
          <t>2025-12-18</t>
        </is>
      </c>
      <c r="B15" s="2" t="n">
        <v>-480.77</v>
      </c>
      <c r="C15" t="inlineStr">
        <is>
          <t>Compra AMZN</t>
        </is>
      </c>
      <c r="D15" t="inlineStr">
        <is>
          <t>Stock</t>
        </is>
      </c>
    </row>
    <row r="16">
      <c r="A16" t="inlineStr">
        <is>
          <t>2025-12-18</t>
        </is>
      </c>
      <c r="B16" s="2" t="n">
        <v>-240.38</v>
      </c>
      <c r="C16" t="inlineStr">
        <is>
          <t>Compra SPY</t>
        </is>
      </c>
      <c r="D16" t="inlineStr">
        <is>
          <t>ETF</t>
        </is>
      </c>
    </row>
    <row r="17">
      <c r="A17" t="inlineStr">
        <is>
          <t>2025-12-18</t>
        </is>
      </c>
      <c r="B17" s="2" t="n">
        <v>-240.38</v>
      </c>
      <c r="C17" t="inlineStr">
        <is>
          <t>Compra NU</t>
        </is>
      </c>
      <c r="D17" t="inlineStr">
        <is>
          <t>Stock</t>
        </is>
      </c>
    </row>
    <row r="18">
      <c r="A18" t="inlineStr">
        <is>
          <t>2025-12-18</t>
        </is>
      </c>
      <c r="B18" s="2" t="n">
        <v>-1255.4</v>
      </c>
      <c r="C18" t="inlineStr">
        <is>
          <t>Compra IEV</t>
        </is>
      </c>
      <c r="D18" t="inlineStr">
        <is>
          <t>ETF</t>
        </is>
      </c>
    </row>
    <row r="19">
      <c r="A19" t="inlineStr">
        <is>
          <t>2025-12-18</t>
        </is>
      </c>
      <c r="B19" s="2" t="n">
        <v>-1356.09</v>
      </c>
      <c r="C19" t="inlineStr">
        <is>
          <t>Compra ARGT</t>
        </is>
      </c>
      <c r="D19" t="inlineStr">
        <is>
          <t>ETF</t>
        </is>
      </c>
    </row>
    <row r="20">
      <c r="A20" t="inlineStr">
        <is>
          <t>2025-12-18</t>
        </is>
      </c>
      <c r="B20" s="2" t="n">
        <v>-605.7</v>
      </c>
      <c r="C20" t="inlineStr">
        <is>
          <t>Compra AMZN</t>
        </is>
      </c>
      <c r="D20" t="inlineStr">
        <is>
          <t>Stock</t>
        </is>
      </c>
    </row>
    <row r="21">
      <c r="A21" t="inlineStr">
        <is>
          <t>2026-01-01</t>
        </is>
      </c>
      <c r="B21" s="2" t="n">
        <v>-1193.89</v>
      </c>
      <c r="C21" t="inlineStr">
        <is>
          <t>Compra AAPL</t>
        </is>
      </c>
      <c r="D21" t="inlineStr">
        <is>
          <t>Stock</t>
        </is>
      </c>
    </row>
    <row r="22">
      <c r="A22">
        <f>TODAY()</f>
        <v/>
      </c>
      <c r="B22" s="2">
        <f>Posiciones!H11</f>
        <v/>
      </c>
      <c r="C22" t="inlineStr">
        <is>
          <t>Valor actual (para XIRR)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Fecha</t>
        </is>
      </c>
      <c r="B1" s="7" t="inlineStr">
        <is>
          <t>Flujo (€)</t>
        </is>
      </c>
    </row>
    <row r="2">
      <c r="A2" t="inlineStr">
        <is>
          <t>2020-05-19</t>
        </is>
      </c>
      <c r="B2" s="2" t="n">
        <v>-248</v>
      </c>
    </row>
    <row r="3">
      <c r="A3" t="inlineStr">
        <is>
          <t>2021-05-19</t>
        </is>
      </c>
      <c r="B3" s="2" t="n">
        <v>-250</v>
      </c>
    </row>
    <row r="4">
      <c r="A4" t="inlineStr">
        <is>
          <t>2021-05-19</t>
        </is>
      </c>
      <c r="B4" s="2" t="n">
        <v>-250</v>
      </c>
    </row>
    <row r="5">
      <c r="A5" t="inlineStr">
        <is>
          <t>2021-12-03</t>
        </is>
      </c>
      <c r="B5" s="2" t="n">
        <v>-200</v>
      </c>
    </row>
    <row r="6">
      <c r="A6" t="inlineStr">
        <is>
          <t>2022-01-25</t>
        </is>
      </c>
      <c r="B6" s="2" t="n">
        <v>-196.46</v>
      </c>
    </row>
    <row r="7">
      <c r="A7" t="inlineStr">
        <is>
          <t>2022-01-25</t>
        </is>
      </c>
      <c r="B7" s="2" t="n">
        <v>-3.83</v>
      </c>
    </row>
    <row r="8">
      <c r="A8" t="inlineStr">
        <is>
          <t>2022-01-25</t>
        </is>
      </c>
      <c r="B8" s="2" t="n">
        <v>-300.75</v>
      </c>
    </row>
    <row r="9">
      <c r="A9" t="inlineStr">
        <is>
          <t>2022-01-25</t>
        </is>
      </c>
      <c r="B9" s="2" t="n">
        <v>-98.95</v>
      </c>
    </row>
    <row r="10">
      <c r="A10" t="inlineStr">
        <is>
          <t>2023-02-02</t>
        </is>
      </c>
      <c r="B10" s="2" t="n">
        <v>-150</v>
      </c>
    </row>
    <row r="11">
      <c r="A11" t="inlineStr">
        <is>
          <t>2023-02-02</t>
        </is>
      </c>
      <c r="B11" s="2" t="n">
        <v>-150</v>
      </c>
    </row>
    <row r="12">
      <c r="A12" t="inlineStr">
        <is>
          <t>2023-04-23</t>
        </is>
      </c>
      <c r="B12" s="2" t="n">
        <v>-200</v>
      </c>
    </row>
    <row r="13">
      <c r="A13">
        <f>TODAY()</f>
        <v/>
      </c>
      <c r="B13" s="2">
        <f>SUMIF(Posiciones!C:C,"Crypto",Posiciones!H:H)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Fecha</t>
        </is>
      </c>
      <c r="B1" s="7" t="inlineStr">
        <is>
          <t>Flujo (€)</t>
        </is>
      </c>
    </row>
    <row r="2">
      <c r="A2" t="inlineStr">
        <is>
          <t>2025-12-18</t>
        </is>
      </c>
      <c r="B2" s="2" t="n">
        <v>-576.92</v>
      </c>
    </row>
    <row r="3">
      <c r="A3" t="inlineStr">
        <is>
          <t>2025-12-18</t>
        </is>
      </c>
      <c r="B3" s="2" t="n">
        <v>-192.31</v>
      </c>
    </row>
    <row r="4">
      <c r="A4" t="inlineStr">
        <is>
          <t>2025-12-18</t>
        </is>
      </c>
      <c r="B4" s="2" t="n">
        <v>-480.77</v>
      </c>
    </row>
    <row r="5">
      <c r="A5" t="inlineStr">
        <is>
          <t>2025-12-18</t>
        </is>
      </c>
      <c r="B5" s="2" t="n">
        <v>-240.38</v>
      </c>
    </row>
    <row r="6">
      <c r="A6" t="inlineStr">
        <is>
          <t>2025-12-18</t>
        </is>
      </c>
      <c r="B6" s="2" t="n">
        <v>-605.7</v>
      </c>
    </row>
    <row r="7">
      <c r="A7" t="inlineStr">
        <is>
          <t>2026-01-01</t>
        </is>
      </c>
      <c r="B7" s="2" t="n">
        <v>-1193.89</v>
      </c>
    </row>
    <row r="8">
      <c r="A8">
        <f>TODAY()</f>
        <v/>
      </c>
      <c r="B8" s="2">
        <f>SUMIF(Posiciones!C:C,"Stock",Posiciones!H:H)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Fecha</t>
        </is>
      </c>
      <c r="B1" s="7" t="inlineStr">
        <is>
          <t>Flujo (€)</t>
        </is>
      </c>
    </row>
    <row r="2">
      <c r="A2" t="inlineStr">
        <is>
          <t>2025-12-18</t>
        </is>
      </c>
      <c r="B2" s="2" t="n">
        <v>-240.38</v>
      </c>
    </row>
    <row r="3">
      <c r="A3" t="inlineStr">
        <is>
          <t>2025-12-18</t>
        </is>
      </c>
      <c r="B3" s="2" t="n">
        <v>-1255.4</v>
      </c>
    </row>
    <row r="4">
      <c r="A4" t="inlineStr">
        <is>
          <t>2025-12-18</t>
        </is>
      </c>
      <c r="B4" s="2" t="n">
        <v>-1356.09</v>
      </c>
    </row>
    <row r="5">
      <c r="A5">
        <f>TODAY()</f>
        <v/>
      </c>
      <c r="B5" s="2">
        <f>SUMIF(Posiciones!C:C,"ETF",Posiciones!H:H)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Mes</t>
        </is>
      </c>
      <c r="B1" s="7" t="inlineStr">
        <is>
          <t>Kraken (€)</t>
        </is>
      </c>
      <c r="C1" s="7" t="inlineStr">
        <is>
          <t>Fintual (€)</t>
        </is>
      </c>
      <c r="D1" s="7" t="inlineStr">
        <is>
          <t>Total (€)</t>
        </is>
      </c>
    </row>
    <row r="2">
      <c r="A2" t="inlineStr">
        <is>
          <t>2020-05</t>
        </is>
      </c>
      <c r="B2" s="2" t="n">
        <v>248</v>
      </c>
      <c r="C2" s="2" t="n">
        <v>0</v>
      </c>
      <c r="D2" s="2">
        <f>B2+C2</f>
        <v/>
      </c>
    </row>
    <row r="3">
      <c r="A3" t="inlineStr">
        <is>
          <t>2021-05</t>
        </is>
      </c>
      <c r="B3" s="2" t="n">
        <v>500</v>
      </c>
      <c r="C3" s="2" t="n">
        <v>0</v>
      </c>
      <c r="D3" s="2">
        <f>B3+C3</f>
        <v/>
      </c>
    </row>
    <row r="4">
      <c r="A4" t="inlineStr">
        <is>
          <t>2021-12</t>
        </is>
      </c>
      <c r="B4" s="2" t="n">
        <v>200</v>
      </c>
      <c r="C4" s="2" t="n">
        <v>0</v>
      </c>
      <c r="D4" s="2">
        <f>B4+C4</f>
        <v/>
      </c>
    </row>
    <row r="5">
      <c r="A5" t="inlineStr">
        <is>
          <t>2022-01</t>
        </is>
      </c>
      <c r="B5" s="2" t="n">
        <v>599.99</v>
      </c>
      <c r="C5" s="2" t="n">
        <v>0</v>
      </c>
      <c r="D5" s="2">
        <f>B5+C5</f>
        <v/>
      </c>
    </row>
    <row r="6">
      <c r="A6" t="inlineStr">
        <is>
          <t>2023-02</t>
        </is>
      </c>
      <c r="B6" s="2" t="n">
        <v>300</v>
      </c>
      <c r="C6" s="2" t="n">
        <v>0</v>
      </c>
      <c r="D6" s="2">
        <f>B6+C6</f>
        <v/>
      </c>
    </row>
    <row r="7">
      <c r="A7" t="inlineStr">
        <is>
          <t>2023-04</t>
        </is>
      </c>
      <c r="B7" s="2" t="n">
        <v>200</v>
      </c>
      <c r="C7" s="2" t="n">
        <v>0</v>
      </c>
      <c r="D7" s="2">
        <f>B7+C7</f>
        <v/>
      </c>
    </row>
    <row r="8">
      <c r="A8" t="inlineStr">
        <is>
          <t>2025-12</t>
        </is>
      </c>
      <c r="B8" s="2" t="n">
        <v>0</v>
      </c>
      <c r="C8" s="2" t="n">
        <v>4947.95</v>
      </c>
      <c r="D8" s="2">
        <f>B8+C8</f>
        <v/>
      </c>
    </row>
    <row r="9">
      <c r="A9" t="inlineStr">
        <is>
          <t>2026-01</t>
        </is>
      </c>
      <c r="B9" s="2" t="n">
        <v>0</v>
      </c>
      <c r="C9" s="2" t="n">
        <v>1193.89</v>
      </c>
      <c r="D9" s="2">
        <f>B9+C9</f>
        <v/>
      </c>
    </row>
    <row r="10">
      <c r="A10" s="4" t="inlineStr">
        <is>
          <t>TOTAL</t>
        </is>
      </c>
      <c r="B10" s="2">
        <f>SUM(B2:B9)</f>
        <v/>
      </c>
      <c r="C10" s="2">
        <f>SUM(C2:C9)</f>
        <v/>
      </c>
      <c r="D10" s="2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2026-01-08T11:41:16Z</dcterms:created>
  <dcterms:modified xsi:type="dcterms:W3CDTF">2026-01-08T11:41:16Z</dcterms:modified>
</cp:coreProperties>
</file>